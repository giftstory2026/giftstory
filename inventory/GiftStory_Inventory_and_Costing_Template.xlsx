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f879bd666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e1ede489ddf4eae"/>
    <x:sheet xmlns:r="http://schemas.openxmlformats.org/officeDocument/2006/relationships" name="Dashboard" sheetId="2" r:id="R58077601835747d9"/>
    <x:sheet xmlns:r="http://schemas.openxmlformats.org/officeDocument/2006/relationships" name="Products" sheetId="3" r:id="R0980bd66042c450e"/>
    <x:sheet xmlns:r="http://schemas.openxmlformats.org/officeDocument/2006/relationships" name="Boxes" sheetId="4" r:id="R813622d3edc449cd"/>
    <x:sheet xmlns:r="http://schemas.openxmlformats.org/officeDocument/2006/relationships" name="Special Requests" sheetId="5" r:id="R8ab3c10ce9c84ec5"/>
    <x:sheet xmlns:r="http://schemas.openxmlformats.org/officeDocument/2006/relationships" name="Inventory Movement" sheetId="6" r:id="R76fd569b8df146d3"/>
    <x:sheet xmlns:r="http://schemas.openxmlformats.org/officeDocument/2006/relationships" name="Pricing Rules" sheetId="7" r:id="R1524f016aee840f7"/>
    <x:sheet xmlns:r="http://schemas.openxmlformats.org/officeDocument/2006/relationships" name="Status Lists" sheetId="8" r:id="R13d318ea64f4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[$SAR] #,##0.00"/>
    <x:numFmt numFmtId="203" formatCode="0"/>
    <x:numFmt numFmtId="204" formatCode="yyyy-mm-dd"/>
    <x:numFmt numFmtId="205" formatCode="#,##0.00"/>
  </x:numFmts>
  <x:fonts count="15">
    <x:font>
      <x:sz val="11"/>
      <x:name val="Carlito"/>
    </x:font>
    <x:font>
      <x:b/>
      <x:sz val="16"/>
      <x:color rgb="FFFFFFFF"/>
      <x:name val="Carlito"/>
    </x:font>
    <x:font>
      <x:sz val="11"/>
      <x:color rgb="FF4A3328"/>
      <x:name val="Carlito"/>
    </x:font>
    <x:font>
      <x:b/>
      <x:sz val="10"/>
      <x:color rgb="FFFFFFFF"/>
      <x:name val="Carlito"/>
    </x:font>
    <x:font>
      <x:b/>
      <x:sz val="11"/>
      <x:color rgb="FF4A3328"/>
      <x:name val="Carlito"/>
    </x:font>
    <x:font>
      <x:b/>
      <x:sz val="11"/>
      <x:color rgb="FFB8955B"/>
      <x:name val="Carlito"/>
    </x:font>
    <x:font>
      <x:i/>
      <x:sz val="11"/>
      <x:color rgb="FF4A3328"/>
      <x:name val="Carlito"/>
    </x:font>
    <x:font>
      <x:sz val="11"/>
      <x:color rgb="FF4A3328"/>
      <x:name val="Carlito"/>
    </x:font>
    <x:font>
      <x:b/>
      <x:sz val="10"/>
      <x:color rgb="FF4A3328"/>
      <x:name val="Aptos"/>
    </x:font>
    <x:font>
      <x:sz val="10"/>
      <x:color rgb="FF4A3328"/>
      <x:name val="Aptos"/>
    </x:font>
    <x:font>
      <x:sz val="10"/>
      <x:color rgb="FF4A3328"/>
      <x:name val="Aptos"/>
    </x:font>
    <x:font>
      <x:i/>
      <x:sz val="10"/>
      <x:color rgb="FF4A3328"/>
      <x:name val="Aptos"/>
    </x:font>
    <x:font>
      <x:b/>
      <x:sz val="16"/>
      <x:color rgb="FFFFFFFF"/>
      <x:name val="Aptos"/>
    </x:font>
    <x:font>
      <x:sz val="11"/>
      <x:color rgb="FF4A3328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B8955B"/>
      </x:patternFill>
    </x:fill>
    <x:fill>
      <x:patternFill patternType="solid">
        <x:fgColor rgb="FFFBF7F0"/>
      </x:patternFill>
    </x:fill>
    <x:fill>
      <x:patternFill patternType="solid">
        <x:fgColor rgb="FF4A3328"/>
      </x:patternFill>
    </x:fill>
    <x:fill>
      <x:patternFill patternType="solid">
        <x:fgColor rgb="FFEFE2C7"/>
      </x:patternFill>
    </x:fill>
  </x:fills>
  <x:borders count="56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left/>
      <x:right/>
      <x:bottom/>
    </x:border>
    <x:border>
      <x:left/>
      <x:right/>
      <x:top/>
      <x:bottom/>
    </x:border>
    <x:border>
      <x:left/>
      <x:righ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4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5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wrapText="1"/>
    </x:xf>
    <x:xf numFmtId="0" fontId="5" fillId="0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 applyAlignment="1">
      <x:alignment wrapText="1"/>
    </x:xf>
    <x:xf numFmtId="0" fontId="5" fillId="0" borderId="30" xfId="0" applyNumberFormat="1" applyFont="1" applyFill="1" applyBorder="1" applyAlignment="1">
      <x:alignment horizontal="center"/>
    </x:xf>
    <x:xf numFmtId="0" fontId="0" fillId="0" borderId="3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center" vertical="center" wrapText="1"/>
    </x:xf>
    <x:xf numFmtId="0" fontId="3" fillId="4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vertical="top" wrapText="1"/>
    </x:xf>
    <x:xf numFmtId="201" fontId="0" fillId="0" borderId="33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3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35" xfId="0" applyNumberFormat="1" applyFont="1" applyFill="1" applyBorder="1" applyAlignment="1">
      <x:alignment horizontal="center" vertical="center" wrapText="1"/>
    </x:xf>
    <x:xf numFmtId="0" fontId="3" fillId="4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201" fontId="0" fillId="0" borderId="36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0" fontId="0" fillId="0" borderId="36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20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5" xfId="0" applyNumberFormat="1" applyFont="1" applyFill="1" applyBorder="1"/>
    <x:xf numFmtId="0" fontId="0" fillId="0" borderId="28" xfId="0" applyNumberFormat="1" applyFont="1" applyFill="1" applyBorder="1"/>
    <x:xf numFmtId="201" fontId="0" fillId="0" borderId="29" xfId="0" applyNumberFormat="1" applyFont="1" applyFill="1" applyBorder="1"/>
    <x:xf numFmtId="200" fontId="0" fillId="0" borderId="29" xfId="0" applyNumberFormat="1" applyFont="1" applyFill="1" applyBorder="1"/>
    <x:xf numFmtId="0" fontId="0" fillId="0" borderId="30" xfId="0" applyNumberFormat="1" applyFont="1" applyFill="1" applyBorder="1"/>
    <x:xf numFmtId="200" fontId="0" fillId="0" borderId="3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3" fillId="4" borderId="38" xfId="0" applyNumberFormat="1" applyFont="1" applyFill="1" applyBorder="1" applyAlignment="1">
      <x:alignment horizontal="center" vertical="center" wrapText="1"/>
    </x:xf>
    <x:xf numFmtId="0" fontId="3" fillId="4" borderId="39" xfId="0" applyNumberFormat="1" applyFont="1" applyFill="1" applyBorder="1" applyAlignment="1">
      <x:alignment horizontal="center" vertical="center" wrapText="1"/>
    </x:xf>
    <x:xf numFmtId="0" fontId="3" fillId="4" borderId="40" xfId="0" applyNumberFormat="1" applyFont="1" applyFill="1" applyBorder="1" applyAlignment="1">
      <x:alignment horizontal="center" vertical="center" wrapText="1"/>
    </x:xf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202" fontId="0" fillId="0" borderId="42" xfId="0" applyNumberFormat="1" applyFont="1" applyFill="1" applyBorder="1"/>
    <x:xf numFmtId="203" fontId="0" fillId="0" borderId="42" xfId="0" applyNumberFormat="1" applyFont="1" applyFill="1" applyBorder="1"/>
    <x:xf numFmtId="204" fontId="0" fillId="0" borderId="42" xfId="0" applyNumberFormat="1" applyFont="1" applyFill="1" applyBorder="1"/>
    <x:xf numFmtId="204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202" fontId="0" fillId="0" borderId="45" xfId="0" applyNumberFormat="1" applyFont="1" applyFill="1" applyBorder="1"/>
    <x:xf numFmtId="203" fontId="0" fillId="0" borderId="45" xfId="0" applyNumberFormat="1" applyFont="1" applyFill="1" applyBorder="1"/>
    <x:xf numFmtId="204" fontId="0" fillId="0" borderId="45" xfId="0" applyNumberFormat="1" applyFont="1" applyFill="1" applyBorder="1"/>
    <x:xf numFmtId="204" fontId="0" fillId="0" borderId="46" xfId="0" applyNumberFormat="1" applyFont="1" applyFill="1" applyBorder="1"/>
    <x:xf numFmtId="0" fontId="3" fillId="4" borderId="47" xfId="0" applyNumberFormat="1" applyFont="1" applyFill="1" applyBorder="1" applyAlignment="1">
      <x:alignment horizontal="center" vertical="center" wrapText="1"/>
    </x:xf>
    <x:xf numFmtId="0" fontId="3" fillId="4" borderId="48" xfId="0" applyNumberFormat="1" applyFont="1" applyFill="1" applyBorder="1" applyAlignment="1">
      <x:alignment horizontal="center" vertical="center" wrapText="1"/>
    </x:xf>
    <x:xf numFmtId="0" fontId="3" fillId="4" borderId="49" xfId="0" applyNumberFormat="1" applyFont="1" applyFill="1" applyBorder="1" applyAlignment="1">
      <x:alignment horizontal="center" vertical="center" wrapText="1"/>
    </x:xf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202" fontId="0" fillId="0" borderId="51" xfId="0" applyNumberFormat="1" applyFont="1" applyFill="1" applyBorder="1"/>
    <x:xf numFmtId="203" fontId="0" fillId="0" borderId="51" xfId="0" applyNumberFormat="1" applyFont="1" applyFill="1" applyBorder="1"/>
    <x:xf numFmtId="204" fontId="0" fillId="0" borderId="51" xfId="0" applyNumberFormat="1" applyFont="1" applyFill="1" applyBorder="1"/>
    <x:xf numFmtId="204" fontId="0" fillId="0" borderId="52" xfId="0" applyNumberFormat="1" applyFont="1" applyFill="1" applyBorder="1"/>
    <x:xf numFmtId="0" fontId="0" fillId="0" borderId="53" xfId="0" applyNumberFormat="1" applyFont="1" applyFill="1" applyBorder="1"/>
    <x:xf numFmtId="0" fontId="0" fillId="0" borderId="54" xfId="0" applyNumberFormat="1" applyFont="1" applyFill="1" applyBorder="1"/>
    <x:xf numFmtId="202" fontId="0" fillId="0" borderId="54" xfId="0" applyNumberFormat="1" applyFont="1" applyFill="1" applyBorder="1"/>
    <x:xf numFmtId="203" fontId="0" fillId="0" borderId="54" xfId="0" applyNumberFormat="1" applyFont="1" applyFill="1" applyBorder="1"/>
    <x:xf numFmtId="204" fontId="0" fillId="0" borderId="54" xfId="0" applyNumberFormat="1" applyFont="1" applyFill="1" applyBorder="1"/>
    <x:xf numFmtId="204" fontId="0" fillId="0" borderId="55" xfId="0" applyNumberFormat="1" applyFont="1" applyFill="1" applyBorder="1"/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202" fontId="0" fillId="0" borderId="42" xfId="0" applyNumberFormat="1" applyFont="1" applyFill="1" applyBorder="1" applyAlignment="1">
      <x:alignment wrapText="1"/>
    </x:xf>
    <x:xf numFmtId="203" fontId="0" fillId="0" borderId="42" xfId="0" applyNumberFormat="1" applyFont="1" applyFill="1" applyBorder="1" applyAlignment="1">
      <x:alignment wrapText="1"/>
    </x:xf>
    <x:xf numFmtId="204" fontId="0" fillId="0" borderId="42" xfId="0" applyNumberFormat="1" applyFont="1" applyFill="1" applyBorder="1" applyAlignment="1">
      <x:alignment wrapText="1"/>
    </x:xf>
    <x:xf numFmtId="204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202" fontId="0" fillId="0" borderId="45" xfId="0" applyNumberFormat="1" applyFont="1" applyFill="1" applyBorder="1" applyAlignment="1">
      <x:alignment wrapText="1"/>
    </x:xf>
    <x:xf numFmtId="203" fontId="0" fillId="0" borderId="45" xfId="0" applyNumberFormat="1" applyFont="1" applyFill="1" applyBorder="1" applyAlignment="1">
      <x:alignment wrapText="1"/>
    </x:xf>
    <x:xf numFmtId="204" fontId="0" fillId="0" borderId="45" xfId="0" applyNumberFormat="1" applyFont="1" applyFill="1" applyBorder="1" applyAlignment="1">
      <x:alignment wrapText="1"/>
    </x:xf>
    <x:xf numFmtId="204" fontId="0" fillId="0" borderId="46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202" fontId="0" fillId="0" borderId="42" xfId="0" applyNumberFormat="1" applyFont="1" applyFill="1" applyBorder="1" applyAlignment="1">
      <x:alignment vertical="top" wrapText="1"/>
    </x:xf>
    <x:xf numFmtId="203" fontId="0" fillId="0" borderId="42" xfId="0" applyNumberFormat="1" applyFont="1" applyFill="1" applyBorder="1" applyAlignment="1">
      <x:alignment vertical="top" wrapText="1"/>
    </x:xf>
    <x:xf numFmtId="204" fontId="0" fillId="0" borderId="42" xfId="0" applyNumberFormat="1" applyFont="1" applyFill="1" applyBorder="1" applyAlignment="1">
      <x:alignment vertical="top" wrapText="1"/>
    </x:xf>
    <x:xf numFmtId="204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202" fontId="0" fillId="0" borderId="45" xfId="0" applyNumberFormat="1" applyFont="1" applyFill="1" applyBorder="1" applyAlignment="1">
      <x:alignment vertical="top" wrapText="1"/>
    </x:xf>
    <x:xf numFmtId="203" fontId="0" fillId="0" borderId="45" xfId="0" applyNumberFormat="1" applyFont="1" applyFill="1" applyBorder="1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204" fontId="0" fillId="0" borderId="46" xfId="0" applyNumberFormat="1" applyFont="1" applyFill="1" applyBorder="1" applyAlignment="1">
      <x:alignment vertical="top"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202" fontId="0" fillId="0" borderId="51" xfId="0" applyNumberFormat="1" applyFont="1" applyFill="1" applyBorder="1" applyAlignment="1">
      <x:alignment wrapText="1"/>
    </x:xf>
    <x:xf numFmtId="203" fontId="0" fillId="0" borderId="51" xfId="0" applyNumberFormat="1" applyFont="1" applyFill="1" applyBorder="1" applyAlignment="1">
      <x:alignment wrapText="1"/>
    </x:xf>
    <x:xf numFmtId="204" fontId="0" fillId="0" borderId="51" xfId="0" applyNumberFormat="1" applyFont="1" applyFill="1" applyBorder="1" applyAlignment="1">
      <x:alignment wrapText="1"/>
    </x:xf>
    <x:xf numFmtId="204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54" xfId="0" applyNumberFormat="1" applyFont="1" applyFill="1" applyBorder="1" applyAlignment="1">
      <x:alignment wrapText="1"/>
    </x:xf>
    <x:xf numFmtId="202" fontId="0" fillId="0" borderId="54" xfId="0" applyNumberFormat="1" applyFont="1" applyFill="1" applyBorder="1" applyAlignment="1">
      <x:alignment wrapText="1"/>
    </x:xf>
    <x:xf numFmtId="203" fontId="0" fillId="0" borderId="54" xfId="0" applyNumberFormat="1" applyFont="1" applyFill="1" applyBorder="1" applyAlignment="1">
      <x:alignment wrapText="1"/>
    </x:xf>
    <x:xf numFmtId="204" fontId="0" fillId="0" borderId="54" xfId="0" applyNumberFormat="1" applyFont="1" applyFill="1" applyBorder="1" applyAlignment="1">
      <x:alignment wrapText="1"/>
    </x:xf>
    <x:xf numFmtId="204" fontId="0" fillId="0" borderId="55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vertical="top" wrapText="1"/>
    </x:xf>
    <x:xf numFmtId="0" fontId="0" fillId="0" borderId="51" xfId="0" applyNumberFormat="1" applyFont="1" applyFill="1" applyBorder="1" applyAlignment="1">
      <x:alignment vertical="top" wrapText="1"/>
    </x:xf>
    <x:xf numFmtId="202" fontId="0" fillId="0" borderId="51" xfId="0" applyNumberFormat="1" applyFont="1" applyFill="1" applyBorder="1" applyAlignment="1">
      <x:alignment vertical="top" wrapText="1"/>
    </x:xf>
    <x:xf numFmtId="203" fontId="0" fillId="0" borderId="51" xfId="0" applyNumberFormat="1" applyFont="1" applyFill="1" applyBorder="1" applyAlignment="1">
      <x:alignment vertical="top" wrapText="1"/>
    </x:xf>
    <x:xf numFmtId="204" fontId="0" fillId="0" borderId="51" xfId="0" applyNumberFormat="1" applyFont="1" applyFill="1" applyBorder="1" applyAlignment="1">
      <x:alignment vertical="top" wrapText="1"/>
    </x:xf>
    <x:xf numFmtId="204" fontId="0" fillId="0" borderId="52" xfId="0" applyNumberFormat="1" applyFont="1" applyFill="1" applyBorder="1" applyAlignment="1">
      <x:alignment vertical="top" wrapText="1"/>
    </x:xf>
    <x:xf numFmtId="0" fontId="0" fillId="0" borderId="53" xfId="0" applyNumberFormat="1" applyFont="1" applyFill="1" applyBorder="1" applyAlignment="1">
      <x:alignment vertical="top" wrapText="1"/>
    </x:xf>
    <x:xf numFmtId="0" fontId="0" fillId="0" borderId="54" xfId="0" applyNumberFormat="1" applyFont="1" applyFill="1" applyBorder="1" applyAlignment="1">
      <x:alignment vertical="top" wrapText="1"/>
    </x:xf>
    <x:xf numFmtId="202" fontId="0" fillId="0" borderId="54" xfId="0" applyNumberFormat="1" applyFont="1" applyFill="1" applyBorder="1" applyAlignment="1">
      <x:alignment vertical="top" wrapText="1"/>
    </x:xf>
    <x:xf numFmtId="203" fontId="0" fillId="0" borderId="54" xfId="0" applyNumberFormat="1" applyFont="1" applyFill="1" applyBorder="1" applyAlignment="1">
      <x:alignment vertical="top" wrapText="1"/>
    </x:xf>
    <x:xf numFmtId="204" fontId="0" fillId="0" borderId="54" xfId="0" applyNumberFormat="1" applyFont="1" applyFill="1" applyBorder="1" applyAlignment="1">
      <x:alignment vertical="top" wrapText="1"/>
    </x:xf>
    <x:xf numFmtId="204" fontId="0" fillId="0" borderId="55" xfId="0" applyNumberFormat="1" applyFont="1" applyFill="1" applyBorder="1" applyAlignment="1">
      <x:alignment vertical="top" wrapText="1"/>
    </x:xf>
    <x:xf numFmtId="200" fontId="0" fillId="0" borderId="42" xfId="0" applyNumberFormat="1" applyFont="1" applyFill="1" applyBorder="1"/>
    <x:xf numFmtId="0" fontId="0" fillId="0" borderId="43" xfId="0" applyNumberFormat="1" applyFont="1" applyFill="1" applyBorder="1"/>
    <x:xf numFmtId="200" fontId="0" fillId="0" borderId="45" xfId="0" applyNumberFormat="1" applyFont="1" applyFill="1" applyBorder="1"/>
    <x:xf numFmtId="0" fontId="0" fillId="0" borderId="46" xfId="0" applyNumberFormat="1" applyFont="1" applyFill="1" applyBorder="1"/>
    <x:xf numFmtId="200" fontId="0" fillId="0" borderId="51" xfId="0" applyNumberFormat="1" applyFont="1" applyFill="1" applyBorder="1"/>
    <x:xf numFmtId="0" fontId="0" fillId="0" borderId="52" xfId="0" applyNumberFormat="1" applyFont="1" applyFill="1" applyBorder="1"/>
    <x:xf numFmtId="200" fontId="0" fillId="0" borderId="54" xfId="0" applyNumberFormat="1" applyFont="1" applyFill="1" applyBorder="1"/>
    <x:xf numFmtId="0" fontId="0" fillId="0" borderId="55" xfId="0" applyNumberFormat="1" applyFont="1" applyFill="1" applyBorder="1"/>
    <x:xf numFmtId="20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200" fontId="0" fillId="0" borderId="45" xfId="0" applyNumberFormat="1" applyFont="1" applyFill="1" applyBorder="1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20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200" fontId="0" fillId="0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 applyAlignment="1">
      <x:alignment vertical="top" wrapText="1"/>
    </x:xf>
    <x:xf numFmtId="200" fontId="0" fillId="0" borderId="51" xfId="0" applyNumberFormat="1" applyFont="1" applyFill="1" applyBorder="1" applyAlignment="1">
      <x:alignment wrapText="1"/>
    </x:xf>
    <x:xf numFmtId="0" fontId="0" fillId="0" borderId="52" xfId="0" applyNumberFormat="1" applyFont="1" applyFill="1" applyBorder="1" applyAlignment="1">
      <x:alignment wrapText="1"/>
    </x:xf>
    <x:xf numFmtId="200" fontId="0" fillId="0" borderId="54" xfId="0" applyNumberFormat="1" applyFont="1" applyFill="1" applyBorder="1" applyAlignment="1">
      <x:alignment wrapText="1"/>
    </x:xf>
    <x:xf numFmtId="0" fontId="0" fillId="0" borderId="55" xfId="0" applyNumberFormat="1" applyFont="1" applyFill="1" applyBorder="1" applyAlignment="1">
      <x:alignment wrapText="1"/>
    </x:xf>
    <x:xf numFmtId="200" fontId="0" fillId="0" borderId="51" xfId="0" applyNumberFormat="1" applyFont="1" applyFill="1" applyBorder="1" applyAlignment="1">
      <x:alignment vertical="top" wrapText="1"/>
    </x:xf>
    <x:xf numFmtId="0" fontId="0" fillId="0" borderId="52" xfId="0" applyNumberFormat="1" applyFont="1" applyFill="1" applyBorder="1" applyAlignment="1">
      <x:alignment vertical="top" wrapText="1"/>
    </x:xf>
    <x:xf numFmtId="200" fontId="0" fillId="0" borderId="54" xfId="0" applyNumberFormat="1" applyFont="1" applyFill="1" applyBorder="1" applyAlignment="1">
      <x:alignment vertical="top" wrapText="1"/>
    </x:xf>
    <x:xf numFmtId="0" fontId="0" fillId="0" borderId="55" xfId="0" applyNumberFormat="1" applyFont="1" applyFill="1" applyBorder="1" applyAlignment="1">
      <x:alignment vertical="top" wrapText="1"/>
    </x:xf>
    <x:xf numFmtId="204" fontId="0" fillId="0" borderId="41" xfId="0" applyNumberFormat="1" applyFont="1" applyFill="1" applyBorder="1"/>
    <x:xf numFmtId="204" fontId="0" fillId="0" borderId="44" xfId="0" applyNumberFormat="1" applyFont="1" applyFill="1" applyBorder="1"/>
    <x:xf numFmtId="204" fontId="0" fillId="0" borderId="50" xfId="0" applyNumberFormat="1" applyFont="1" applyFill="1" applyBorder="1"/>
    <x:xf numFmtId="204" fontId="0" fillId="0" borderId="53" xfId="0" applyNumberFormat="1" applyFont="1" applyFill="1" applyBorder="1"/>
    <x:xf numFmtId="204" fontId="0" fillId="0" borderId="41" xfId="0" applyNumberFormat="1" applyFont="1" applyFill="1" applyBorder="1" applyAlignment="1">
      <x:alignment wrapText="1"/>
    </x:xf>
    <x:xf numFmtId="204" fontId="0" fillId="0" borderId="44" xfId="0" applyNumberFormat="1" applyFont="1" applyFill="1" applyBorder="1" applyAlignment="1">
      <x:alignment wrapText="1"/>
    </x:xf>
    <x:xf numFmtId="204" fontId="0" fillId="0" borderId="41" xfId="0" applyNumberFormat="1" applyFont="1" applyFill="1" applyBorder="1" applyAlignment="1">
      <x:alignment vertical="top" wrapText="1"/>
    </x:xf>
    <x:xf numFmtId="204" fontId="0" fillId="0" borderId="44" xfId="0" applyNumberFormat="1" applyFont="1" applyFill="1" applyBorder="1" applyAlignment="1">
      <x:alignment vertical="top" wrapText="1"/>
    </x:xf>
    <x:xf numFmtId="204" fontId="0" fillId="0" borderId="50" xfId="0" applyNumberFormat="1" applyFont="1" applyFill="1" applyBorder="1" applyAlignment="1">
      <x:alignment wrapText="1"/>
    </x:xf>
    <x:xf numFmtId="204" fontId="0" fillId="0" borderId="53" xfId="0" applyNumberFormat="1" applyFont="1" applyFill="1" applyBorder="1" applyAlignment="1">
      <x:alignment wrapText="1"/>
    </x:xf>
    <x:xf numFmtId="204" fontId="0" fillId="0" borderId="50" xfId="0" applyNumberFormat="1" applyFont="1" applyFill="1" applyBorder="1" applyAlignment="1">
      <x:alignment vertical="top" wrapText="1"/>
    </x:xf>
    <x:xf numFmtId="204" fontId="0" fillId="0" borderId="5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33" xfId="0" applyNumberFormat="1" applyFont="1" applyFill="1" applyBorder="1"/>
    <x:xf numFmtId="0" fontId="0" fillId="0" borderId="23" xfId="0" applyNumberFormat="1" applyFont="1" applyFill="1" applyBorder="1"/>
    <x:xf numFmtId="202" fontId="0" fillId="0" borderId="33" xfId="0" applyNumberFormat="1" applyFont="1" applyFill="1" applyBorder="1"/>
    <x:xf numFmtId="202" fontId="0" fillId="0" borderId="34" xfId="0" applyNumberFormat="1" applyFont="1" applyFill="1" applyBorder="1"/>
    <x:xf numFmtId="0" fontId="0" fillId="0" borderId="25" xfId="0" applyNumberFormat="1" applyFont="1" applyFill="1" applyBorder="1"/>
    <x:xf numFmtId="205" fontId="0" fillId="0" borderId="36" xfId="0" applyNumberFormat="1" applyFont="1" applyFill="1" applyBorder="1"/>
    <x:xf numFmtId="0" fontId="0" fillId="0" borderId="29" xfId="0" applyNumberFormat="1" applyFont="1" applyFill="1" applyBorder="1"/>
    <x:xf numFmtId="202" fontId="0" fillId="0" borderId="36" xfId="0" applyNumberFormat="1" applyFont="1" applyFill="1" applyBorder="1"/>
    <x:xf numFmtId="202" fontId="0" fillId="0" borderId="37" xfId="0" applyNumberFormat="1" applyFont="1" applyFill="1" applyBorder="1"/>
    <x:xf numFmtId="0" fontId="0" fillId="0" borderId="31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205" fontId="0" fillId="0" borderId="33" xfId="0" applyNumberFormat="1" applyFont="1" applyFill="1" applyBorder="1" applyAlignment="1">
      <x:alignment wrapText="1"/>
    </x:xf>
    <x:xf numFmtId="202" fontId="0" fillId="0" borderId="3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2" fontId="0" fillId="0" borderId="34" xfId="0" applyNumberFormat="1" applyFont="1" applyFill="1" applyBorder="1" applyAlignment="1">
      <x:alignment wrapText="1"/>
    </x:xf>
    <x:xf numFmtId="205" fontId="0" fillId="0" borderId="33" xfId="0" applyNumberFormat="1" applyFont="1" applyFill="1" applyBorder="1" applyAlignment="1">
      <x:alignment vertical="top" wrapText="1"/>
    </x:xf>
    <x:xf numFmtId="202" fontId="0" fillId="0" borderId="33" xfId="0" applyNumberFormat="1" applyFont="1" applyFill="1" applyBorder="1" applyAlignment="1">
      <x:alignment vertical="top" wrapText="1"/>
    </x:xf>
    <x:xf numFmtId="202" fontId="0" fillId="0" borderId="34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wrapText="1"/>
    </x:xf>
    <x:xf numFmtId="205" fontId="0" fillId="0" borderId="36" xfId="0" applyNumberFormat="1" applyFont="1" applyFill="1" applyBorder="1" applyAlignment="1">
      <x:alignment wrapText="1"/>
    </x:xf>
    <x:xf numFmtId="202" fontId="0" fillId="0" borderId="36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202" fontId="0" fillId="0" borderId="37" xfId="0" applyNumberFormat="1" applyFont="1" applyFill="1" applyBorder="1" applyAlignment="1">
      <x:alignment wrapText="1"/>
    </x:xf>
    <x:xf numFmtId="205" fontId="0" fillId="0" borderId="36" xfId="0" applyNumberFormat="1" applyFont="1" applyFill="1" applyBorder="1" applyAlignment="1">
      <x:alignment vertical="top" wrapText="1"/>
    </x:xf>
    <x:xf numFmtId="202" fontId="0" fillId="0" borderId="36" xfId="0" applyNumberFormat="1" applyFont="1" applyFill="1" applyBorder="1" applyAlignment="1">
      <x:alignment vertical="top" wrapText="1"/>
    </x:xf>
    <x:xf numFmtId="202" fontId="0" fillId="0" borderId="37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/>
    </x:xf>
    <x:xf numFmtId="0" fontId="8" fillId="0" borderId="20" xfId="0" applyNumberFormat="1" applyFont="1" applyFill="1" applyBorder="1" applyAlignment="1">
      <x:alignment horizontal="center"/>
    </x:xf>
    <x:xf numFmtId="0" fontId="9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horizontal="center"/>
    </x:xf>
    <x:xf numFmtId="0" fontId="9" fillId="0" borderId="23" xfId="0" applyNumberFormat="1" applyFont="1" applyFill="1" applyBorder="1" applyAlignment="1">
      <x:alignment wrapText="1"/>
    </x:xf>
    <x:xf numFmtId="0" fontId="8" fillId="0" borderId="24" xfId="0" applyNumberFormat="1" applyFont="1" applyFill="1" applyBorder="1" applyAlignment="1">
      <x:alignment horizontal="center"/>
    </x:xf>
    <x:xf numFmtId="0" fontId="9" fillId="0" borderId="25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12" xfId="0" applyNumberFormat="1" applyFont="1" applyFill="1" applyBorder="1" applyAlignment="1">
      <x:alignment horizontal="center" vertical="center" wrapText="1"/>
    </x:xf>
    <x:xf numFmtId="0" fontId="8" fillId="4" borderId="13" xfId="0" applyNumberFormat="1" applyFont="1" applyFill="1" applyBorder="1" applyAlignment="1">
      <x:alignment horizontal="center" vertical="center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horizontal="center"/>
    </x:xf>
    <x:xf numFmtId="0" fontId="8" fillId="0" borderId="26" xfId="0" applyNumberFormat="1" applyFont="1" applyFill="1" applyBorder="1" applyAlignment="1">
      <x:alignment horizontal="center"/>
    </x:xf>
    <x:xf numFmtId="0" fontId="9" fillId="0" borderId="27" xfId="0" applyNumberFormat="1" applyFont="1" applyFill="1" applyBorder="1" applyAlignment="1">
      <x:alignment wrapText="1"/>
    </x:xf>
    <x:xf numFmtId="0" fontId="8" fillId="0" borderId="28" xfId="0" applyNumberFormat="1" applyFont="1" applyFill="1" applyBorder="1" applyAlignment="1">
      <x:alignment horizontal="center"/>
    </x:xf>
    <x:xf numFmtId="0" fontId="9" fillId="0" borderId="29" xfId="0" applyNumberFormat="1" applyFont="1" applyFill="1" applyBorder="1" applyAlignment="1">
      <x:alignment wrapText="1"/>
    </x:xf>
    <x:xf numFmtId="0" fontId="8" fillId="0" borderId="30" xfId="0" applyNumberFormat="1" applyFont="1" applyFill="1" applyBorder="1" applyAlignment="1">
      <x:alignment horizontal="center"/>
    </x:xf>
    <x:xf numFmtId="0" fontId="9" fillId="0" borderId="3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/>
    </x:xf>
    <x:xf numFmtId="0" fontId="8" fillId="4" borderId="20" xfId="0" applyNumberFormat="1" applyFont="1" applyFill="1" applyBorder="1" applyAlignment="1">
      <x:alignment horizontal="center" vertical="center" wrapText="1"/>
    </x:xf>
    <x:xf numFmtId="0" fontId="8" fillId="4" borderId="32" xfId="0" applyNumberFormat="1" applyFont="1" applyFill="1" applyBorder="1" applyAlignment="1">
      <x:alignment horizontal="center" vertical="center" wrapText="1"/>
    </x:xf>
    <x:xf numFmtId="0" fontId="8" fillId="4" borderId="21" xfId="0" applyNumberFormat="1" applyFont="1" applyFill="1" applyBorder="1" applyAlignment="1">
      <x:alignment horizontal="center" vertical="center" wrapText="1"/>
    </x:xf>
    <x:xf numFmtId="0" fontId="9" fillId="0" borderId="22" xfId="0" applyNumberFormat="1" applyFont="1" applyFill="1" applyBorder="1" applyAlignment="1">
      <x:alignment vertical="top" wrapText="1"/>
    </x:xf>
    <x:xf numFmtId="205" fontId="9" fillId="0" borderId="33" xfId="0" applyNumberFormat="1" applyFont="1" applyFill="1" applyBorder="1" applyAlignment="1">
      <x:alignment vertical="top" wrapText="1"/>
    </x:xf>
    <x:xf numFmtId="0" fontId="9" fillId="0" borderId="23" xfId="0" applyNumberFormat="1" applyFont="1" applyFill="1" applyBorder="1" applyAlignment="1">
      <x:alignment vertical="top" wrapText="1"/>
    </x:xf>
    <x:xf numFmtId="0" fontId="9" fillId="0" borderId="22" xfId="0" applyNumberFormat="1" applyFont="1" applyFill="1" applyBorder="1"/>
    <x:xf numFmtId="201" fontId="9" fillId="0" borderId="23" xfId="0" applyNumberFormat="1" applyFont="1" applyFill="1" applyBorder="1"/>
    <x:xf numFmtId="200" fontId="9" fillId="0" borderId="23" xfId="0" applyNumberFormat="1" applyFont="1" applyFill="1" applyBorder="1"/>
    <x:xf numFmtId="202" fontId="9" fillId="0" borderId="33" xfId="0" applyNumberFormat="1" applyFont="1" applyFill="1" applyBorder="1" applyAlignment="1">
      <x:alignment vertical="top" wrapText="1"/>
    </x:xf>
    <x:xf numFmtId="0" fontId="9" fillId="0" borderId="24" xfId="0" applyNumberFormat="1" applyFont="1" applyFill="1" applyBorder="1"/>
    <x:xf numFmtId="200" fontId="9" fillId="0" borderId="25" xfId="0" applyNumberFormat="1" applyFont="1" applyFill="1" applyBorder="1"/>
    <x:xf numFmtId="0" fontId="9" fillId="0" borderId="24" xfId="0" applyNumberFormat="1" applyFont="1" applyFill="1" applyBorder="1" applyAlignment="1">
      <x:alignment vertical="top" wrapText="1"/>
    </x:xf>
    <x:xf numFmtId="202" fontId="9" fillId="0" borderId="34" xfId="0" applyNumberFormat="1" applyFont="1" applyFill="1" applyBorder="1" applyAlignment="1">
      <x:alignment vertical="top" wrapText="1"/>
    </x:xf>
    <x:xf numFmtId="0" fontId="9" fillId="0" borderId="25" xfId="0" applyNumberFormat="1" applyFont="1" applyFill="1" applyBorder="1" applyAlignment="1">
      <x:alignment vertical="top" wrapText="1"/>
    </x:xf>
    <x:xf numFmtId="0" fontId="9" fillId="0" borderId="33" xfId="0" applyNumberFormat="1" applyFont="1" applyFill="1" applyBorder="1"/>
    <x:xf numFmtId="202" fontId="9" fillId="0" borderId="33" xfId="0" applyNumberFormat="1" applyFont="1" applyFill="1" applyBorder="1"/>
    <x:xf numFmtId="0" fontId="9" fillId="0" borderId="34" xfId="0" applyNumberFormat="1" applyFont="1" applyFill="1" applyBorder="1"/>
    <x:xf numFmtId="202" fontId="9" fillId="0" borderId="34" xfId="0" applyNumberFormat="1" applyFont="1" applyFill="1" applyBorder="1"/>
    <x:xf numFmtId="0" fontId="8" fillId="4" borderId="26" xfId="0" applyNumberFormat="1" applyFont="1" applyFill="1" applyBorder="1" applyAlignment="1">
      <x:alignment horizontal="center" vertical="center" wrapText="1"/>
    </x:xf>
    <x:xf numFmtId="0" fontId="8" fillId="4" borderId="35" xfId="0" applyNumberFormat="1" applyFont="1" applyFill="1" applyBorder="1" applyAlignment="1">
      <x:alignment horizontal="center" vertical="center" wrapText="1"/>
    </x:xf>
    <x:xf numFmtId="0" fontId="8" fillId="4" borderId="27" xfId="0" applyNumberFormat="1" applyFont="1" applyFill="1" applyBorder="1" applyAlignment="1">
      <x:alignment horizontal="center" vertical="center" wrapText="1"/>
    </x:xf>
    <x:xf numFmtId="0" fontId="9" fillId="0" borderId="28" xfId="0" applyNumberFormat="1" applyFont="1" applyFill="1" applyBorder="1" applyAlignment="1">
      <x:alignment vertical="top" wrapText="1"/>
    </x:xf>
    <x:xf numFmtId="205" fontId="9" fillId="0" borderId="36" xfId="0" applyNumberFormat="1" applyFont="1" applyFill="1" applyBorder="1" applyAlignment="1">
      <x:alignment vertical="top" wrapText="1"/>
    </x:xf>
    <x:xf numFmtId="0" fontId="9" fillId="0" borderId="29" xfId="0" applyNumberFormat="1" applyFont="1" applyFill="1" applyBorder="1" applyAlignment="1">
      <x:alignment vertical="top" wrapText="1"/>
    </x:xf>
    <x:xf numFmtId="0" fontId="9" fillId="0" borderId="28" xfId="0" applyNumberFormat="1" applyFont="1" applyFill="1" applyBorder="1"/>
    <x:xf numFmtId="201" fontId="9" fillId="0" borderId="29" xfId="0" applyNumberFormat="1" applyFont="1" applyFill="1" applyBorder="1"/>
    <x:xf numFmtId="200" fontId="9" fillId="0" borderId="29" xfId="0" applyNumberFormat="1" applyFont="1" applyFill="1" applyBorder="1"/>
    <x:xf numFmtId="202" fontId="9" fillId="0" borderId="36" xfId="0" applyNumberFormat="1" applyFont="1" applyFill="1" applyBorder="1" applyAlignment="1">
      <x:alignment vertical="top" wrapText="1"/>
    </x:xf>
    <x:xf numFmtId="0" fontId="9" fillId="0" borderId="30" xfId="0" applyNumberFormat="1" applyFont="1" applyFill="1" applyBorder="1"/>
    <x:xf numFmtId="200" fontId="9" fillId="0" borderId="31" xfId="0" applyNumberFormat="1" applyFont="1" applyFill="1" applyBorder="1"/>
    <x:xf numFmtId="0" fontId="9" fillId="0" borderId="30" xfId="0" applyNumberFormat="1" applyFont="1" applyFill="1" applyBorder="1" applyAlignment="1">
      <x:alignment vertical="top" wrapText="1"/>
    </x:xf>
    <x:xf numFmtId="202" fontId="9" fillId="0" borderId="37" xfId="0" applyNumberFormat="1" applyFont="1" applyFill="1" applyBorder="1" applyAlignment="1">
      <x:alignment vertical="top" wrapText="1"/>
    </x:xf>
    <x:xf numFmtId="0" fontId="9" fillId="0" borderId="31" xfId="0" applyNumberFormat="1" applyFont="1" applyFill="1" applyBorder="1" applyAlignment="1">
      <x:alignment vertical="top" wrapText="1"/>
    </x:xf>
    <x:xf numFmtId="0" fontId="9" fillId="0" borderId="36" xfId="0" applyNumberFormat="1" applyFont="1" applyFill="1" applyBorder="1"/>
    <x:xf numFmtId="202" fontId="9" fillId="0" borderId="36" xfId="0" applyNumberFormat="1" applyFont="1" applyFill="1" applyBorder="1"/>
    <x:xf numFmtId="0" fontId="9" fillId="0" borderId="37" xfId="0" applyNumberFormat="1" applyFont="1" applyFill="1" applyBorder="1"/>
    <x:xf numFmtId="202" fontId="9" fillId="0" borderId="37" xfId="0" applyNumberFormat="1" applyFont="1" applyFill="1" applyBorder="1"/>
    <x:xf numFmtId="0" fontId="8" fillId="4" borderId="38" xfId="0" applyNumberFormat="1" applyFont="1" applyFill="1" applyBorder="1" applyAlignment="1">
      <x:alignment horizontal="center" vertical="center" wrapText="1"/>
    </x:xf>
    <x:xf numFmtId="0" fontId="8" fillId="4" borderId="39" xfId="0" applyNumberFormat="1" applyFont="1" applyFill="1" applyBorder="1" applyAlignment="1">
      <x:alignment horizontal="center" vertical="center" wrapText="1"/>
    </x:xf>
    <x:xf numFmtId="0" fontId="8" fillId="4" borderId="40" xfId="0" applyNumberFormat="1" applyFont="1" applyFill="1" applyBorder="1" applyAlignment="1">
      <x:alignment horizontal="center" vertical="center" wrapText="1"/>
    </x:xf>
    <x:xf numFmtId="0" fontId="9" fillId="0" borderId="41" xfId="0" applyNumberFormat="1" applyFont="1" applyFill="1" applyBorder="1" applyAlignment="1">
      <x:alignment vertical="top" wrapText="1"/>
    </x:xf>
    <x:xf numFmtId="0" fontId="9" fillId="0" borderId="42" xfId="0" applyNumberFormat="1" applyFont="1" applyFill="1" applyBorder="1" applyAlignment="1">
      <x:alignment vertical="top" wrapText="1"/>
    </x:xf>
    <x:xf numFmtId="202" fontId="9" fillId="0" borderId="42" xfId="0" applyNumberFormat="1" applyFont="1" applyFill="1" applyBorder="1" applyAlignment="1">
      <x:alignment vertical="top" wrapText="1"/>
    </x:xf>
    <x:xf numFmtId="203" fontId="9" fillId="0" borderId="42" xfId="0" applyNumberFormat="1" applyFont="1" applyFill="1" applyBorder="1" applyAlignment="1">
      <x:alignment vertical="top" wrapText="1"/>
    </x:xf>
    <x:xf numFmtId="204" fontId="9" fillId="0" borderId="42" xfId="0" applyNumberFormat="1" applyFont="1" applyFill="1" applyBorder="1" applyAlignment="1">
      <x:alignment vertical="top" wrapText="1"/>
    </x:xf>
    <x:xf numFmtId="204" fontId="9" fillId="0" borderId="43" xfId="0" applyNumberFormat="1" applyFont="1" applyFill="1" applyBorder="1" applyAlignment="1">
      <x:alignment vertical="top" wrapText="1"/>
    </x:xf>
    <x:xf numFmtId="0" fontId="9" fillId="0" borderId="44" xfId="0" applyNumberFormat="1" applyFont="1" applyFill="1" applyBorder="1" applyAlignment="1">
      <x:alignment vertical="top" wrapText="1"/>
    </x:xf>
    <x:xf numFmtId="0" fontId="9" fillId="0" borderId="45" xfId="0" applyNumberFormat="1" applyFont="1" applyFill="1" applyBorder="1" applyAlignment="1">
      <x:alignment vertical="top" wrapText="1"/>
    </x:xf>
    <x:xf numFmtId="202" fontId="9" fillId="0" borderId="45" xfId="0" applyNumberFormat="1" applyFont="1" applyFill="1" applyBorder="1" applyAlignment="1">
      <x:alignment vertical="top" wrapText="1"/>
    </x:xf>
    <x:xf numFmtId="203" fontId="9" fillId="0" borderId="45" xfId="0" applyNumberFormat="1" applyFont="1" applyFill="1" applyBorder="1" applyAlignment="1">
      <x:alignment vertical="top" wrapText="1"/>
    </x:xf>
    <x:xf numFmtId="204" fontId="9" fillId="0" borderId="45" xfId="0" applyNumberFormat="1" applyFont="1" applyFill="1" applyBorder="1" applyAlignment="1">
      <x:alignment vertical="top" wrapText="1"/>
    </x:xf>
    <x:xf numFmtId="204" fontId="9" fillId="0" borderId="46" xfId="0" applyNumberFormat="1" applyFont="1" applyFill="1" applyBorder="1" applyAlignment="1">
      <x:alignment vertical="top" wrapText="1"/>
    </x:xf>
    <x:xf numFmtId="0" fontId="8" fillId="4" borderId="47" xfId="0" applyNumberFormat="1" applyFont="1" applyFill="1" applyBorder="1" applyAlignment="1">
      <x:alignment horizontal="center" vertical="center" wrapText="1"/>
    </x:xf>
    <x:xf numFmtId="0" fontId="8" fillId="4" borderId="48" xfId="0" applyNumberFormat="1" applyFont="1" applyFill="1" applyBorder="1" applyAlignment="1">
      <x:alignment horizontal="center" vertical="center" wrapText="1"/>
    </x:xf>
    <x:xf numFmtId="0" fontId="8" fillId="4" borderId="49" xfId="0" applyNumberFormat="1" applyFont="1" applyFill="1" applyBorder="1" applyAlignment="1">
      <x:alignment horizontal="center" vertical="center" wrapText="1"/>
    </x:xf>
    <x:xf numFmtId="0" fontId="9" fillId="0" borderId="50" xfId="0" applyNumberFormat="1" applyFont="1" applyFill="1" applyBorder="1" applyAlignment="1">
      <x:alignment vertical="top" wrapText="1"/>
    </x:xf>
    <x:xf numFmtId="0" fontId="9" fillId="0" borderId="51" xfId="0" applyNumberFormat="1" applyFont="1" applyFill="1" applyBorder="1" applyAlignment="1">
      <x:alignment vertical="top" wrapText="1"/>
    </x:xf>
    <x:xf numFmtId="202" fontId="9" fillId="0" borderId="51" xfId="0" applyNumberFormat="1" applyFont="1" applyFill="1" applyBorder="1" applyAlignment="1">
      <x:alignment vertical="top" wrapText="1"/>
    </x:xf>
    <x:xf numFmtId="203" fontId="9" fillId="0" borderId="51" xfId="0" applyNumberFormat="1" applyFont="1" applyFill="1" applyBorder="1" applyAlignment="1">
      <x:alignment vertical="top" wrapText="1"/>
    </x:xf>
    <x:xf numFmtId="204" fontId="9" fillId="0" borderId="51" xfId="0" applyNumberFormat="1" applyFont="1" applyFill="1" applyBorder="1" applyAlignment="1">
      <x:alignment vertical="top" wrapText="1"/>
    </x:xf>
    <x:xf numFmtId="204" fontId="9" fillId="0" borderId="52" xfId="0" applyNumberFormat="1" applyFont="1" applyFill="1" applyBorder="1" applyAlignment="1">
      <x:alignment vertical="top" wrapText="1"/>
    </x:xf>
    <x:xf numFmtId="0" fontId="9" fillId="0" borderId="53" xfId="0" applyNumberFormat="1" applyFont="1" applyFill="1" applyBorder="1" applyAlignment="1">
      <x:alignment vertical="top" wrapText="1"/>
    </x:xf>
    <x:xf numFmtId="0" fontId="9" fillId="0" borderId="54" xfId="0" applyNumberFormat="1" applyFont="1" applyFill="1" applyBorder="1" applyAlignment="1">
      <x:alignment vertical="top" wrapText="1"/>
    </x:xf>
    <x:xf numFmtId="202" fontId="9" fillId="0" borderId="54" xfId="0" applyNumberFormat="1" applyFont="1" applyFill="1" applyBorder="1" applyAlignment="1">
      <x:alignment vertical="top" wrapText="1"/>
    </x:xf>
    <x:xf numFmtId="203" fontId="9" fillId="0" borderId="54" xfId="0" applyNumberFormat="1" applyFont="1" applyFill="1" applyBorder="1" applyAlignment="1">
      <x:alignment vertical="top" wrapText="1"/>
    </x:xf>
    <x:xf numFmtId="204" fontId="9" fillId="0" borderId="54" xfId="0" applyNumberFormat="1" applyFont="1" applyFill="1" applyBorder="1" applyAlignment="1">
      <x:alignment vertical="top" wrapText="1"/>
    </x:xf>
    <x:xf numFmtId="204" fontId="9" fillId="0" borderId="55" xfId="0" applyNumberFormat="1" applyFont="1" applyFill="1" applyBorder="1" applyAlignment="1">
      <x:alignment vertical="top" wrapText="1"/>
    </x:xf>
    <x:xf numFmtId="200" fontId="9" fillId="0" borderId="42" xfId="0" applyNumberFormat="1" applyFont="1" applyFill="1" applyBorder="1" applyAlignment="1">
      <x:alignment vertical="top" wrapText="1"/>
    </x:xf>
    <x:xf numFmtId="0" fontId="9" fillId="0" borderId="43" xfId="0" applyNumberFormat="1" applyFont="1" applyFill="1" applyBorder="1" applyAlignment="1">
      <x:alignment vertical="top" wrapText="1"/>
    </x:xf>
    <x:xf numFmtId="200" fontId="9" fillId="0" borderId="45" xfId="0" applyNumberFormat="1" applyFont="1" applyFill="1" applyBorder="1" applyAlignment="1">
      <x:alignment vertical="top" wrapText="1"/>
    </x:xf>
    <x:xf numFmtId="0" fontId="9" fillId="0" borderId="46" xfId="0" applyNumberFormat="1" applyFont="1" applyFill="1" applyBorder="1" applyAlignment="1">
      <x:alignment vertical="top" wrapText="1"/>
    </x:xf>
    <x:xf numFmtId="200" fontId="9" fillId="0" borderId="51" xfId="0" applyNumberFormat="1" applyFont="1" applyFill="1" applyBorder="1" applyAlignment="1">
      <x:alignment vertical="top" wrapText="1"/>
    </x:xf>
    <x:xf numFmtId="0" fontId="9" fillId="0" borderId="52" xfId="0" applyNumberFormat="1" applyFont="1" applyFill="1" applyBorder="1" applyAlignment="1">
      <x:alignment vertical="top" wrapText="1"/>
    </x:xf>
    <x:xf numFmtId="200" fontId="9" fillId="0" borderId="54" xfId="0" applyNumberFormat="1" applyFont="1" applyFill="1" applyBorder="1" applyAlignment="1">
      <x:alignment vertical="top" wrapText="1"/>
    </x:xf>
    <x:xf numFmtId="0" fontId="9" fillId="0" borderId="55" xfId="0" applyNumberFormat="1" applyFont="1" applyFill="1" applyBorder="1" applyAlignment="1">
      <x:alignment vertical="top" wrapText="1"/>
    </x:xf>
    <x:xf numFmtId="204" fontId="9" fillId="0" borderId="41" xfId="0" applyNumberFormat="1" applyFont="1" applyFill="1" applyBorder="1" applyAlignment="1">
      <x:alignment vertical="top" wrapText="1"/>
    </x:xf>
    <x:xf numFmtId="204" fontId="9" fillId="0" borderId="44" xfId="0" applyNumberFormat="1" applyFont="1" applyFill="1" applyBorder="1" applyAlignment="1">
      <x:alignment vertical="top" wrapText="1"/>
    </x:xf>
    <x:xf numFmtId="204" fontId="9" fillId="0" borderId="50" xfId="0" applyNumberFormat="1" applyFont="1" applyFill="1" applyBorder="1" applyAlignment="1">
      <x:alignment vertical="top" wrapText="1"/>
    </x:xf>
    <x:xf numFmtId="204" fontId="9" fillId="0" borderId="53" xfId="0" applyNumberFormat="1" applyFont="1" applyFill="1" applyBorder="1" applyAlignment="1">
      <x:alignment vertical="top" wrapText="1"/>
    </x:xf>
    <x:xf numFmtId="201" fontId="9" fillId="0" borderId="33" xfId="0" applyNumberFormat="1" applyFont="1" applyFill="1" applyBorder="1" applyAlignment="1">
      <x:alignment vertical="top" wrapText="1"/>
    </x:xf>
    <x:xf numFmtId="0" fontId="9" fillId="0" borderId="33" xfId="0" applyNumberFormat="1" applyFont="1" applyFill="1" applyBorder="1" applyAlignment="1">
      <x:alignment vertical="top" wrapText="1"/>
    </x:xf>
    <x:xf numFmtId="200" fontId="9" fillId="0" borderId="33" xfId="0" applyNumberFormat="1" applyFont="1" applyFill="1" applyBorder="1" applyAlignment="1">
      <x:alignment vertical="top" wrapText="1"/>
    </x:xf>
    <x:xf numFmtId="0" fontId="9" fillId="0" borderId="34" xfId="0" applyNumberFormat="1" applyFont="1" applyFill="1" applyBorder="1" applyAlignment="1">
      <x:alignment vertical="top" wrapText="1"/>
    </x:xf>
    <x:xf numFmtId="201" fontId="9" fillId="0" borderId="36" xfId="0" applyNumberFormat="1" applyFont="1" applyFill="1" applyBorder="1" applyAlignment="1">
      <x:alignment vertical="top" wrapText="1"/>
    </x:xf>
    <x:xf numFmtId="0" fontId="9" fillId="0" borderId="36" xfId="0" applyNumberFormat="1" applyFont="1" applyFill="1" applyBorder="1" applyAlignment="1">
      <x:alignment vertical="top" wrapText="1"/>
    </x:xf>
    <x:xf numFmtId="200" fontId="9" fillId="0" borderId="36" xfId="0" applyNumberFormat="1" applyFont="1" applyFill="1" applyBorder="1" applyAlignment="1">
      <x:alignment vertical="top" wrapText="1"/>
    </x:xf>
    <x:xf numFmtId="0" fontId="9" fillId="0" borderId="37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/>
    <x:xf numFmtId="0" fontId="12" fillId="2" borderId="0" xfId="0" applyNumberFormat="1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 applyAlignment="1">
      <x:alignment horizontal="center"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0" fontId="14" fillId="4" borderId="2" xfId="0" applyNumberFormat="1" applyFont="1" applyFill="1" applyBorder="1" applyAlignment="1">
      <x:alignment horizontal="center" vertical="center" wrapText="1"/>
    </x:xf>
    <x:xf numFmtId="0" fontId="14" fillId="4" borderId="3" xfId="0" applyNumberFormat="1" applyFont="1" applyFill="1" applyBorder="1" applyAlignment="1">
      <x:alignment horizontal="center" vertical="center" wrapText="1"/>
    </x:xf>
    <x:xf numFmtId="0" fontId="14" fillId="4" borderId="4" xfId="0" applyNumberFormat="1" applyFont="1" applyFill="1" applyBorder="1" applyAlignment="1">
      <x:alignment horizontal="center" vertical="center" wrapText="1"/>
    </x:xf>
    <x:xf numFmtId="0" fontId="14" fillId="4" borderId="11" xfId="0" applyNumberFormat="1" applyFont="1" applyFill="1" applyBorder="1" applyAlignment="1">
      <x:alignment horizontal="center" vertical="center" wrapText="1"/>
    </x:xf>
    <x:xf numFmtId="0" fontId="14" fillId="4" borderId="12" xfId="0" applyNumberFormat="1" applyFont="1" applyFill="1" applyBorder="1" applyAlignment="1">
      <x:alignment horizontal="center" vertical="center" wrapText="1"/>
    </x:xf>
    <x:xf numFmtId="0" fontId="14" fillId="4" borderId="13" xfId="0" applyNumberFormat="1" applyFont="1" applyFill="1" applyBorder="1" applyAlignment="1">
      <x:alignment horizontal="center" vertical="center" wrapText="1"/>
    </x:xf>
    <x:xf numFmtId="0" fontId="14" fillId="4" borderId="20" xfId="0" applyNumberFormat="1" applyFont="1" applyFill="1" applyBorder="1" applyAlignment="1">
      <x:alignment horizontal="center" vertical="center" wrapText="1"/>
    </x:xf>
    <x:xf numFmtId="0" fontId="14" fillId="4" borderId="32" xfId="0" applyNumberFormat="1" applyFont="1" applyFill="1" applyBorder="1" applyAlignment="1">
      <x:alignment horizontal="center" vertical="center" wrapText="1"/>
    </x:xf>
    <x:xf numFmtId="0" fontId="14" fillId="4" borderId="21" xfId="0" applyNumberFormat="1" applyFont="1" applyFill="1" applyBorder="1" applyAlignment="1">
      <x:alignment horizontal="center" vertical="center" wrapText="1"/>
    </x:xf>
    <x:xf numFmtId="0" fontId="14" fillId="4" borderId="26" xfId="0" applyNumberFormat="1" applyFont="1" applyFill="1" applyBorder="1" applyAlignment="1">
      <x:alignment horizontal="center" vertical="center" wrapText="1"/>
    </x:xf>
    <x:xf numFmtId="0" fontId="14" fillId="4" borderId="35" xfId="0" applyNumberFormat="1" applyFont="1" applyFill="1" applyBorder="1" applyAlignment="1">
      <x:alignment horizontal="center" vertical="center" wrapText="1"/>
    </x:xf>
    <x:xf numFmtId="0" fontId="14" fillId="4" borderId="27" xfId="0" applyNumberFormat="1" applyFont="1" applyFill="1" applyBorder="1" applyAlignment="1">
      <x:alignment horizontal="center" vertical="center" wrapText="1"/>
    </x:xf>
    <x:xf numFmtId="0" fontId="14" fillId="4" borderId="38" xfId="0" applyNumberFormat="1" applyFont="1" applyFill="1" applyBorder="1" applyAlignment="1">
      <x:alignment horizontal="center" vertical="center" wrapText="1"/>
    </x:xf>
    <x:xf numFmtId="0" fontId="14" fillId="4" borderId="39" xfId="0" applyNumberFormat="1" applyFont="1" applyFill="1" applyBorder="1" applyAlignment="1">
      <x:alignment horizontal="center" vertical="center" wrapText="1"/>
    </x:xf>
    <x:xf numFmtId="0" fontId="14" fillId="4" borderId="40" xfId="0" applyNumberFormat="1" applyFont="1" applyFill="1" applyBorder="1" applyAlignment="1">
      <x:alignment horizontal="center" vertical="center" wrapText="1"/>
    </x:xf>
    <x:xf numFmtId="0" fontId="14" fillId="4" borderId="47" xfId="0" applyNumberFormat="1" applyFont="1" applyFill="1" applyBorder="1" applyAlignment="1">
      <x:alignment horizontal="center" vertical="center" wrapText="1"/>
    </x:xf>
    <x:xf numFmtId="0" fontId="14" fillId="4" borderId="48" xfId="0" applyNumberFormat="1" applyFont="1" applyFill="1" applyBorder="1" applyAlignment="1">
      <x:alignment horizontal="center" vertical="center" wrapText="1"/>
    </x:xf>
    <x:xf numFmtId="0" fontId="14" fillId="4" borderId="49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12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 patternType="solid">
          <x:bgColor rgb="FFDDEAD7"/>
        </x:patternFill>
      </x:fill>
    </x:dxf>
    <x:dxf>
      <x:fill>
        <x:patternFill patternType="solid">
          <x:bgColor rgb="FFEFE2C7"/>
        </x:patternFill>
      </x:fill>
    </x:dxf>
    <x:dxf>
      <x:fill>
        <x:patternFill patternType="solid">
          <x:bgColor rgb="FFE5E7EB"/>
        </x:patternFill>
      </x:fill>
    </x:dxf>
    <x:dxf>
      <x:fill>
        <x:patternFill patternType="solid">
          <x:bgColor rgb="FFDDEAD7"/>
        </x:patternFill>
      </x:fill>
    </x:dxf>
    <x:dxf>
      <x:fill>
        <x:patternFill patternType="solid">
          <x:bgColor rgb="FFEFE2C7"/>
        </x:patternFill>
      </x:fill>
    </x:dxf>
    <x:dxf>
      <x:fill>
        <x:patternFill patternType="solid">
          <x:bgColor rgb="FFF4D6D3"/>
        </x:patternFill>
      </x:fill>
    </x:dxf>
    <x:dxf>
      <x:fill>
        <x:patternFill patternType="solid">
          <x:bgColor rgb="FFDDEAD7"/>
        </x:patternFill>
      </x:fill>
    </x:dxf>
    <x:dxf>
      <x:fill>
        <x:patternFill patternType="solid">
          <x:bgColor rgb="FFF4D6D3"/>
        </x:patternFill>
      </x:fill>
    </x:dxf>
    <x:dxf>
      <x:fill>
        <x:patternFill patternType="solid">
          <x:bgColor rgb="FFDDEA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2e2ad45704803" /><Relationship Type="http://schemas.openxmlformats.org/officeDocument/2006/relationships/theme" Target="/xl/theme/theme1.xml" Id="R77c2308726204f76" /><Relationship Type="http://schemas.openxmlformats.org/officeDocument/2006/relationships/sharedStrings" Target="/xl/sharedStrings.xml" Id="R062d29897abe451d" /><Relationship Type="http://schemas.openxmlformats.org/officeDocument/2006/relationships/worksheet" Target="/xl/worksheets/sheet1.xml" Id="Rbe1ede489ddf4eae" /><Relationship Type="http://schemas.openxmlformats.org/officeDocument/2006/relationships/worksheet" Target="/xl/worksheets/sheet2.xml" Id="R58077601835747d9" /><Relationship Type="http://schemas.openxmlformats.org/officeDocument/2006/relationships/worksheet" Target="/xl/worksheets/sheet3.xml" Id="R0980bd66042c450e" /><Relationship Type="http://schemas.openxmlformats.org/officeDocument/2006/relationships/worksheet" Target="/xl/worksheets/sheet4.xml" Id="R813622d3edc449cd" /><Relationship Type="http://schemas.openxmlformats.org/officeDocument/2006/relationships/worksheet" Target="/xl/worksheets/sheet5.xml" Id="R8ab3c10ce9c84ec5" /><Relationship Type="http://schemas.openxmlformats.org/officeDocument/2006/relationships/worksheet" Target="/xl/worksheets/sheet6.xml" Id="R76fd569b8df146d3" /><Relationship Type="http://schemas.openxmlformats.org/officeDocument/2006/relationships/worksheet" Target="/xl/worksheets/sheet7.xml" Id="R1524f016aee840f7" /><Relationship Type="http://schemas.openxmlformats.org/officeDocument/2006/relationships/worksheet" Target="/xl/worksheets/sheet8.xml" Id="R13d318ea64f44032" /></Relationships>
</file>

<file path=xl/tables/table1.xml><?xml version="1.0" encoding="utf-8"?>
<x:table xmlns:x="http://schemas.openxmlformats.org/spreadsheetml/2006/main" id="1" name="ProductsTable" displayName="ProductsTable" ref="A4:U200" headerRowCount="1">
  <x:tableColumns count="21">
    <x:tableColumn id="1" name="Product ID"/>
    <x:tableColumn id="2" name="Product Name"/>
    <x:tableColumn id="3" name="Category"/>
    <x:tableColumn id="4" name="Drop"/>
    <x:tableColumn id="5" name="Brand"/>
    <x:tableColumn id="6" name="Product Type"/>
    <x:tableColumn id="7" name="Audience"/>
    <x:tableColumn id="8" name="Age / Size"/>
    <x:tableColumn id="9" name="Color"/>
    <x:tableColumn id="10" name="Source"/>
    <x:tableColumn id="11" name="Landed Cost SAR"/>
    <x:tableColumn id="12" name="Quantity Purchased"/>
    <x:tableColumn id="13" name="Quantity Available"/>
    <x:tableColumn id="14" name="Status"/>
    <x:tableColumn id="15" name="Raw Image Filename"/>
    <x:tableColumn id="16" name="Client Display Image Filename"/>
    <x:tableColumn id="17" name="Suggested Box Use"/>
    <x:tableColumn id="18" name="Customer-Facing Description"/>
    <x:tableColumn id="19" name="Internal Notes"/>
    <x:tableColumn id="20" name="Date Added"/>
    <x:tableColumn id="21" name="Date Used"/>
  </x:tableColumns>
  <x:tableStyleInfo name="TableStyleMedium2" showRowStripes="1"/>
</x:table>
</file>

<file path=xl/tables/table2.xml><?xml version="1.0" encoding="utf-8"?>
<x:table xmlns:x="http://schemas.openxmlformats.org/spreadsheetml/2006/main" id="2" name="BoxesTable" displayName="BoxesTable" ref="A4:AN200" headerRowCount="1">
  <x:tableColumns count="40">
    <x:tableColumn id="1" name="Box ID"/>
    <x:tableColumn id="2" name="Box Name"/>
    <x:tableColumn id="3" name="Category"/>
    <x:tableColumn id="4" name="Drop Name"/>
    <x:tableColumn id="5" name="Channel"/>
    <x:tableColumn id="6" name="Status"/>
    <x:tableColumn id="7" name="Product 1 ID"/>
    <x:tableColumn id="8" name="Product 1 Name"/>
    <x:tableColumn id="9" name="Product 1 Cost"/>
    <x:tableColumn id="10" name="Product 2 ID"/>
    <x:tableColumn id="11" name="Product 2 Name"/>
    <x:tableColumn id="12" name="Product 2 Cost"/>
    <x:tableColumn id="13" name="Product 3 ID"/>
    <x:tableColumn id="14" name="Product 3 Name"/>
    <x:tableColumn id="15" name="Product 3 Cost"/>
    <x:tableColumn id="16" name="Product 4 ID"/>
    <x:tableColumn id="17" name="Product 4 Name"/>
    <x:tableColumn id="18" name="Product 4 Cost"/>
    <x:tableColumn id="19" name="Product 5 ID"/>
    <x:tableColumn id="20" name="Product 5 Name"/>
    <x:tableColumn id="21" name="Product 5 Cost"/>
    <x:tableColumn id="22" name="Total Product Cost"/>
    <x:tableColumn id="23" name="Packaging Cost"/>
    <x:tableColumn id="24" name="Preparation Cost"/>
    <x:tableColumn id="25" name="Total Cost"/>
    <x:tableColumn id="26" name="Target Profit"/>
    <x:tableColumn id="27" name="Minimum Net Revenue"/>
    <x:tableColumn id="28" name="Payment %"/>
    <x:tableColumn id="29" name="Fixed Fee"/>
    <x:tableColumn id="30" name="App Commission %"/>
    <x:tableColumn id="31" name="Minimum Direct Price"/>
    <x:tableColumn id="32" name="Suggested Direct Price"/>
    <x:tableColumn id="33" name="Minimum App Price"/>
    <x:tableColumn id="34" name="Suggested App Price"/>
    <x:tableColumn id="35" name="Final Approved Price"/>
    <x:tableColumn id="36" name="Profit After Fees"/>
    <x:tableColumn id="37" name="Profit %"/>
    <x:tableColumn id="38" name="Quantity Available"/>
    <x:tableColumn id="39" name="Approval Date"/>
    <x:tableColumn id="4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pecialRequestsTable" displayName="SpecialRequestsTable" ref="A4:X200" headerRowCount="1">
  <x:tableColumns count="24">
    <x:tableColumn id="1" name="Request ID"/>
    <x:tableColumn id="2" name="Customer Name"/>
    <x:tableColumn id="3" name="Occasion"/>
    <x:tableColumn id="4" name="Recipient Details"/>
    <x:tableColumn id="5" name="Requested Style"/>
    <x:tableColumn id="6" name="Budget Range"/>
    <x:tableColumn id="7" name="Products Needed"/>
    <x:tableColumn id="8" name="Estimated Product Cost"/>
    <x:tableColumn id="9" name="Estimated Packaging Cost"/>
    <x:tableColumn id="10" name="Estimated Preparation Cost"/>
    <x:tableColumn id="11" name="Estimated Sourcing Cost"/>
    <x:tableColumn id="12" name="Total Estimated Cost"/>
    <x:tableColumn id="13" name="Target Profit"/>
    <x:tableColumn id="14" name="Minimum Quote"/>
    <x:tableColumn id="15" name="Quoted Price"/>
    <x:tableColumn id="16" name="Payment Status"/>
    <x:tableColumn id="17" name="Preparation Status"/>
    <x:tableColumn id="18" name="Delivery City"/>
    <x:tableColumn id="19" name="Desired Date"/>
    <x:tableColumn id="20" name="Delivery Date"/>
    <x:tableColumn id="21" name="Customer Contact"/>
    <x:tableColumn id="22" name="Notes"/>
    <x:tableColumn id="23" name="Date Received"/>
    <x:tableColumn id="24" name="Date Closed"/>
  </x:tableColumns>
  <x:tableStyleInfo name="TableStyleMedium2" showRowStripes="1"/>
</x:table>
</file>

<file path=xl/tables/table4.xml><?xml version="1.0" encoding="utf-8"?>
<x:table xmlns:x="http://schemas.openxmlformats.org/spreadsheetml/2006/main" id="4" name="InventoryMovementTable" displayName="InventoryMovementTable" ref="A4:H200" headerRowCount="1">
  <x:tableColumns count="8">
    <x:tableColumn id="1" name="Date"/>
    <x:tableColumn id="2" name="Product ID"/>
    <x:tableColumn id="3" name="Action"/>
    <x:tableColumn id="4" name="Quantity"/>
    <x:tableColumn id="5" name="Box ID"/>
    <x:tableColumn id="6" name="Order ID"/>
    <x:tableColumn id="7" name="Notes"/>
    <x:tableColumn id="8" name="Recorded 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3fac1a34cd946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56cb8476907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3fae64df7704f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07b7c05fb244c1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8" hidden="0" customWidth="1"/>
  </x:cols>
  <x:sheetData>
    <x:row r="1" ht="30" customHeight="1">
      <x:c r="A1" s="412" t="str">
        <x:v>Gift Story — Inventory &amp; Costing Workbook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قالب متابعة المنتجات، تكلفة البوكسات، التسعير، والطلبات الخاصة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16" t="str">
        <x:v>Section</x:v>
      </x:c>
      <x:c r="B4" s="417" t="str">
        <x:v>Purpose</x:v>
      </x:c>
      <x:c r="C4" s="418" t="str">
        <x:v>How to Use</x:v>
      </x:c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  <x:c r="T4" s="281"/>
      <x:c r="U4" s="281"/>
      <x:c r="V4" s="281"/>
      <x:c r="W4" s="281"/>
      <x:c r="X4" s="281"/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286" t="str">
        <x:v>Dashboard</x:v>
      </x:c>
      <x:c r="B5" s="287" t="str">
        <x:v>Quick overview</x:v>
      </x:c>
      <x:c r="C5" s="288" t="str">
        <x:v>Shows product counts, live boxes, estimated revenue, and key cost assumptions.</x:v>
      </x:c>
      <x:c r="D5" s="281"/>
      <x:c r="E5" s="281"/>
      <x:c r="F5" s="281"/>
      <x:c r="G5" s="281"/>
      <x:c r="H5" s="281"/>
      <x:c r="I5" s="281"/>
      <x:c r="J5" s="281"/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286" t="str">
        <x:v>Products</x:v>
      </x:c>
      <x:c r="B6" s="287" t="str">
        <x:v>Product-level inventory</x:v>
      </x:c>
      <x:c r="C6" s="288" t="str">
        <x:v>Add every product with landed cost, quantity, images, status, and category.</x:v>
      </x:c>
      <x:c r="D6" s="281"/>
      <x:c r="E6" s="281"/>
      <x:c r="F6" s="281"/>
      <x:c r="G6" s="281"/>
      <x:c r="H6" s="281"/>
      <x:c r="I6" s="281"/>
      <x:c r="J6" s="281"/>
      <x:c r="K6" s="281"/>
      <x:c r="L6" s="281"/>
      <x:c r="M6" s="281"/>
      <x:c r="N6" s="281"/>
      <x:c r="O6" s="281"/>
      <x:c r="P6" s="281"/>
      <x:c r="Q6" s="281"/>
      <x:c r="R6" s="281"/>
      <x:c r="S6" s="281"/>
      <x:c r="T6" s="281"/>
      <x:c r="U6" s="281"/>
      <x:c r="V6" s="281"/>
      <x:c r="W6" s="281"/>
      <x:c r="X6" s="281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286" t="str">
        <x:v>Boxes</x:v>
      </x:c>
      <x:c r="B7" s="287" t="str">
        <x:v>Box-level costing and pricing</x:v>
      </x:c>
      <x:c r="C7" s="288" t="str">
        <x:v>Select products/costs, packaging, channel, then approve final price.</x:v>
      </x:c>
      <x:c r="D7" s="281"/>
      <x:c r="E7" s="281"/>
      <x:c r="F7" s="281"/>
      <x:c r="G7" s="281"/>
      <x:c r="H7" s="281"/>
      <x:c r="I7" s="281"/>
      <x:c r="J7" s="281"/>
      <x:c r="K7" s="281"/>
      <x:c r="L7" s="281"/>
      <x:c r="M7" s="281"/>
      <x:c r="N7" s="281"/>
      <x:c r="O7" s="281"/>
      <x:c r="P7" s="281"/>
      <x:c r="Q7" s="281"/>
      <x:c r="R7" s="281"/>
      <x:c r="S7" s="281"/>
      <x:c r="T7" s="281"/>
      <x:c r="U7" s="281"/>
      <x:c r="V7" s="281"/>
      <x:c r="W7" s="281"/>
      <x:c r="X7" s="281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286" t="str">
        <x:v>Special Requests</x:v>
      </x:c>
      <x:c r="B8" s="287" t="str">
        <x:v>Custom gift requests</x:v>
      </x:c>
      <x:c r="C8" s="288" t="str">
        <x:v>Estimate costs and quote manually for Special Gift Story Request orders.</x:v>
      </x:c>
      <x:c r="D8" s="281"/>
      <x:c r="E8" s="281"/>
      <x:c r="F8" s="281"/>
      <x:c r="G8" s="281"/>
      <x:c r="H8" s="281"/>
      <x:c r="I8" s="281"/>
      <x:c r="J8" s="281"/>
      <x:c r="K8" s="281"/>
      <x:c r="L8" s="281"/>
      <x:c r="M8" s="281"/>
      <x:c r="N8" s="281"/>
      <x:c r="O8" s="281"/>
      <x:c r="P8" s="281"/>
      <x:c r="Q8" s="281"/>
      <x:c r="R8" s="281"/>
      <x:c r="S8" s="281"/>
      <x:c r="T8" s="281"/>
      <x:c r="U8" s="281"/>
      <x:c r="V8" s="281"/>
      <x:c r="W8" s="281"/>
      <x:c r="X8" s="281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286" t="str">
        <x:v>Inventory Movement</x:v>
      </x:c>
      <x:c r="B9" s="287" t="str">
        <x:v>Stock movement log</x:v>
      </x:c>
      <x:c r="C9" s="288" t="str">
        <x:v>Track added, reserved, used, returned, damaged, or archived products.</x:v>
      </x:c>
      <x:c r="D9" s="281"/>
      <x:c r="E9" s="281"/>
      <x:c r="F9" s="281"/>
      <x:c r="G9" s="281"/>
      <x:c r="H9" s="281"/>
      <x:c r="I9" s="281"/>
      <x:c r="J9" s="281"/>
      <x:c r="K9" s="281"/>
      <x:c r="L9" s="281"/>
      <x:c r="M9" s="281"/>
      <x:c r="N9" s="281"/>
      <x:c r="O9" s="281"/>
      <x:c r="P9" s="281"/>
      <x:c r="Q9" s="281"/>
      <x:c r="R9" s="281"/>
      <x:c r="S9" s="281"/>
      <x:c r="T9" s="281"/>
      <x:c r="U9" s="281"/>
      <x:c r="V9" s="281"/>
      <x:c r="W9" s="281"/>
      <x:c r="X9" s="281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286" t="str">
        <x:v>Pricing Rules</x:v>
      </x:c>
      <x:c r="B10" s="287" t="str">
        <x:v>Model assumptions</x:v>
      </x:c>
      <x:c r="C10" s="288" t="str">
        <x:v>Update payment fee, packaging cost, app commission, and source/basis.</x:v>
      </x:c>
      <x:c r="D10" s="281"/>
      <x:c r="E10" s="281"/>
      <x:c r="F10" s="281"/>
      <x:c r="G10" s="281"/>
      <x:c r="H10" s="281"/>
      <x:c r="I10" s="281"/>
      <x:c r="J10" s="281"/>
      <x:c r="K10" s="281"/>
      <x:c r="L10" s="281"/>
      <x:c r="M10" s="281"/>
      <x:c r="N10" s="281"/>
      <x:c r="O10" s="281"/>
      <x:c r="P10" s="281"/>
      <x:c r="Q10" s="281"/>
      <x:c r="R10" s="281"/>
      <x:c r="S10" s="281"/>
      <x:c r="T10" s="281"/>
      <x:c r="U10" s="281"/>
      <x:c r="V10" s="281"/>
      <x:c r="W10" s="281"/>
      <x:c r="X10" s="281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289" t="str">
        <x:v>Status Lists</x:v>
      </x:c>
      <x:c r="B11" s="290" t="str">
        <x:v>Dropdown values</x:v>
      </x:c>
      <x:c r="C11" s="291" t="str">
        <x:v>Hidden/reference sheet for data validation lists.</x:v>
      </x:c>
      <x:c r="D11" s="281"/>
      <x:c r="E11" s="281"/>
      <x:c r="F11" s="281"/>
      <x:c r="G11" s="281"/>
      <x:c r="H11" s="281"/>
      <x:c r="I11" s="281"/>
      <x:c r="J11" s="281"/>
      <x:c r="K11" s="281"/>
      <x:c r="L11" s="281"/>
      <x:c r="M11" s="281"/>
      <x:c r="N11" s="281"/>
      <x:c r="O11" s="281"/>
      <x:c r="P11" s="281"/>
      <x:c r="Q11" s="281"/>
      <x:c r="R11" s="281"/>
      <x:c r="S11" s="281"/>
      <x:c r="T11" s="281"/>
      <x:c r="U11" s="281"/>
      <x:c r="V11" s="281"/>
      <x:c r="W11" s="281"/>
      <x:c r="X11" s="281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281"/>
      <x:c r="B12" s="281"/>
      <x:c r="C12" s="281"/>
      <x:c r="D12" s="281"/>
      <x:c r="E12" s="281"/>
      <x:c r="F12" s="281"/>
      <x:c r="G12" s="281"/>
      <x:c r="H12" s="281"/>
      <x:c r="I12" s="281"/>
      <x:c r="J12" s="281"/>
      <x:c r="K12" s="281"/>
      <x:c r="L12" s="281"/>
      <x:c r="M12" s="281"/>
      <x:c r="N12" s="281"/>
      <x:c r="O12" s="281"/>
      <x:c r="P12" s="281"/>
      <x:c r="Q12" s="281"/>
      <x:c r="R12" s="281"/>
      <x:c r="S12" s="281"/>
      <x:c r="T12" s="281"/>
      <x:c r="U12" s="281"/>
      <x:c r="V12" s="281"/>
      <x:c r="W12" s="281"/>
      <x:c r="X12" s="281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292" t="str">
        <x:v>Core Rules / القواعد الأساسية</x:v>
      </x:c>
      <x:c r="B13" s="281"/>
      <x:c r="C13" s="281"/>
      <x:c r="D13" s="281"/>
      <x:c r="E13" s="281"/>
      <x:c r="F13" s="281"/>
      <x:c r="G13" s="281"/>
      <x:c r="H13" s="281"/>
      <x:c r="I13" s="281"/>
      <x:c r="J13" s="281"/>
      <x:c r="K13" s="281"/>
      <x:c r="L13" s="281"/>
      <x:c r="M13" s="281"/>
      <x:c r="N13" s="281"/>
      <x:c r="O13" s="281"/>
      <x:c r="P13" s="281"/>
      <x:c r="Q13" s="281"/>
      <x:c r="R13" s="281"/>
      <x:c r="S13" s="281"/>
      <x:c r="T13" s="281"/>
      <x:c r="U13" s="281"/>
      <x:c r="V13" s="281"/>
      <x:c r="W13" s="281"/>
      <x:c r="X13" s="281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293" t="str">
        <x:v>1</x:v>
      </x:c>
      <x:c r="B14" s="294" t="str">
        <x:v>Use landed product cost only. Do not double-count shipping/customs if already included.</x:v>
      </x:c>
      <x:c r="C14" s="281"/>
      <x:c r="D14" s="281"/>
      <x:c r="E14" s="281"/>
      <x:c r="F14" s="281"/>
      <x:c r="G14" s="281"/>
      <x:c r="H14" s="281"/>
      <x:c r="I14" s="281"/>
      <x:c r="J14" s="281"/>
      <x:c r="K14" s="281"/>
      <x:c r="L14" s="281"/>
      <x:c r="M14" s="281"/>
      <x:c r="N14" s="281"/>
      <x:c r="O14" s="281"/>
      <x:c r="P14" s="281"/>
      <x:c r="Q14" s="281"/>
      <x:c r="R14" s="281"/>
      <x:c r="S14" s="281"/>
      <x:c r="T14" s="281"/>
      <x:c r="U14" s="281"/>
      <x:c r="V14" s="281"/>
      <x:c r="W14" s="281"/>
      <x:c r="X14" s="281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>
      <x:c r="A15" s="295" t="str">
        <x:v>2</x:v>
      </x:c>
      <x:c r="B15" s="296" t="str">
        <x:v>Packaging working assumption is 18 SAR per full gift presentation; update it when supplier prices change.</x:v>
      </x:c>
      <x:c r="C15" s="281"/>
      <x:c r="D15" s="281"/>
      <x:c r="E15" s="281"/>
      <x:c r="F15" s="281"/>
      <x:c r="G15" s="281"/>
      <x:c r="H15" s="281"/>
      <x:c r="I15" s="281"/>
      <x:c r="J15" s="281"/>
      <x:c r="K15" s="281"/>
      <x:c r="L15" s="281"/>
      <x:c r="M15" s="281"/>
      <x:c r="N15" s="281"/>
      <x:c r="O15" s="281"/>
      <x:c r="P15" s="281"/>
      <x:c r="Q15" s="281"/>
      <x:c r="R15" s="281"/>
      <x:c r="S15" s="281"/>
      <x:c r="T15" s="281"/>
      <x:c r="U15" s="281"/>
      <x:c r="V15" s="281"/>
      <x:c r="W15" s="281"/>
      <x:c r="X15" s="281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295" t="str">
        <x:v>3</x:v>
      </x:c>
      <x:c r="B16" s="296" t="str">
        <x:v>Minimum target profit is 50% above total cost: Minimum Net Revenue = Total Cost × 1.5.</x:v>
      </x:c>
      <x:c r="C16" s="281"/>
      <x:c r="D16" s="281"/>
      <x:c r="E16" s="281"/>
      <x:c r="F16" s="281"/>
      <x:c r="G16" s="281"/>
      <x:c r="H16" s="281"/>
      <x:c r="I16" s="281"/>
      <x:c r="J16" s="281"/>
      <x:c r="K16" s="281"/>
      <x:c r="L16" s="281"/>
      <x:c r="M16" s="281"/>
      <x:c r="N16" s="281"/>
      <x:c r="O16" s="281"/>
      <x:c r="P16" s="281"/>
      <x:c r="Q16" s="281"/>
      <x:c r="R16" s="281"/>
      <x:c r="S16" s="281"/>
      <x:c r="T16" s="281"/>
      <x:c r="U16" s="281"/>
      <x:c r="V16" s="281"/>
      <x:c r="W16" s="281"/>
      <x:c r="X16" s="281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295" t="str">
        <x:v>4</x:v>
      </x:c>
      <x:c r="B17" s="296" t="str">
        <x:v>Direct payment fee working assumption is 7% + 1 SAR until confirmed by platform/gateway.</x:v>
      </x:c>
      <x:c r="C17" s="281"/>
      <x:c r="D17" s="281"/>
      <x:c r="E17" s="281"/>
      <x:c r="F17" s="281"/>
      <x:c r="G17" s="281"/>
      <x:c r="H17" s="281"/>
      <x:c r="I17" s="281"/>
      <x:c r="J17" s="281"/>
      <x:c r="K17" s="281"/>
      <x:c r="L17" s="281"/>
      <x:c r="M17" s="281"/>
      <x:c r="N17" s="281"/>
      <x:c r="O17" s="281"/>
      <x:c r="P17" s="281"/>
      <x:c r="Q17" s="281"/>
      <x:c r="R17" s="281"/>
      <x:c r="S17" s="281"/>
      <x:c r="T17" s="281"/>
      <x:c r="U17" s="281"/>
      <x:c r="V17" s="281"/>
      <x:c r="W17" s="281"/>
      <x:c r="X17" s="281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295" t="str">
        <x:v>5</x:v>
      </x:c>
      <x:c r="B18" s="296" t="str">
        <x:v>Delivery app commission working assumption is 22.5% until actual contract confirms.</x:v>
      </x:c>
      <x:c r="C18" s="281"/>
      <x:c r="D18" s="281"/>
      <x:c r="E18" s="281"/>
      <x:c r="F18" s="281"/>
      <x:c r="G18" s="281"/>
      <x:c r="H18" s="281"/>
      <x:c r="I18" s="281"/>
      <x:c r="J18" s="281"/>
      <x:c r="K18" s="281"/>
      <x:c r="L18" s="281"/>
      <x:c r="M18" s="281"/>
      <x:c r="N18" s="281"/>
      <x:c r="O18" s="281"/>
      <x:c r="P18" s="281"/>
      <x:c r="Q18" s="281"/>
      <x:c r="R18" s="281"/>
      <x:c r="S18" s="281"/>
      <x:c r="T18" s="281"/>
      <x:c r="U18" s="281"/>
      <x:c r="V18" s="281"/>
      <x:c r="W18" s="281"/>
      <x:c r="X18" s="281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297" t="str">
        <x:v>6</x:v>
      </x:c>
      <x:c r="B19" s="298" t="str">
        <x:v>Official website does not show detailed product prices; prices live inside each active sales channel.</x:v>
      </x:c>
      <x:c r="C19" s="281"/>
      <x:c r="D19" s="281"/>
      <x:c r="E19" s="281"/>
      <x:c r="F19" s="281"/>
      <x:c r="G19" s="281"/>
      <x:c r="H19" s="281"/>
      <x:c r="I19" s="281"/>
      <x:c r="J19" s="281"/>
      <x:c r="K19" s="281"/>
      <x:c r="L19" s="281"/>
      <x:c r="M19" s="281"/>
      <x:c r="N19" s="281"/>
      <x:c r="O19" s="281"/>
      <x:c r="P19" s="281"/>
      <x:c r="Q19" s="281"/>
      <x:c r="R19" s="281"/>
      <x:c r="S19" s="281"/>
      <x:c r="T19" s="281"/>
      <x:c r="U19" s="281"/>
      <x:c r="V19" s="281"/>
      <x:c r="W19" s="281"/>
      <x:c r="X19" s="281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299" t="str">
        <x:v>Prepared for Gift Story — WHERE EVERY GIFT TELLS A STORY</x:v>
      </x:c>
      <x:c r="B20" s="281"/>
      <x:c r="C20" s="281"/>
      <x:c r="D20" s="281"/>
      <x:c r="E20" s="281"/>
      <x:c r="F20" s="281"/>
      <x:c r="G20" s="281"/>
      <x:c r="H20" s="281"/>
      <x:c r="I20" s="281"/>
      <x:c r="J20" s="281"/>
      <x:c r="K20" s="281"/>
      <x:c r="L20" s="281"/>
      <x:c r="M20" s="281"/>
      <x:c r="N20" s="281"/>
      <x:c r="O20" s="281"/>
      <x:c r="P20" s="281"/>
      <x:c r="Q20" s="281"/>
      <x:c r="R20" s="281"/>
      <x:c r="S20" s="281"/>
      <x:c r="T20" s="281"/>
      <x:c r="U20" s="281"/>
      <x:c r="V20" s="281"/>
      <x:c r="W20" s="281"/>
      <x:c r="X20" s="281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281"/>
      <x:c r="B21" s="281"/>
      <x:c r="C21" s="281"/>
      <x:c r="D21" s="281"/>
      <x:c r="E21" s="281"/>
      <x:c r="F21" s="281"/>
      <x:c r="G21" s="281"/>
      <x:c r="H21" s="281"/>
      <x:c r="I21" s="281"/>
      <x:c r="J21" s="281"/>
      <x:c r="K21" s="281"/>
      <x:c r="L21" s="281"/>
      <x:c r="M21" s="281"/>
      <x:c r="N21" s="281"/>
      <x:c r="O21" s="281"/>
      <x:c r="P21" s="281"/>
      <x:c r="Q21" s="281"/>
      <x:c r="R21" s="281"/>
      <x:c r="S21" s="281"/>
      <x:c r="T21" s="281"/>
      <x:c r="U21" s="281"/>
      <x:c r="V21" s="281"/>
      <x:c r="W21" s="281"/>
      <x:c r="X21" s="281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281"/>
      <x:c r="B22" s="281"/>
      <x:c r="C22" s="281"/>
      <x:c r="D22" s="281"/>
      <x:c r="E22" s="281"/>
      <x:c r="F22" s="281"/>
      <x:c r="G22" s="281"/>
      <x:c r="H22" s="281"/>
      <x:c r="I22" s="281"/>
      <x:c r="J22" s="281"/>
      <x:c r="K22" s="281"/>
      <x:c r="L22" s="281"/>
      <x:c r="M22" s="281"/>
      <x:c r="N22" s="281"/>
      <x:c r="O22" s="281"/>
      <x:c r="P22" s="281"/>
      <x:c r="Q22" s="281"/>
      <x:c r="R22" s="281"/>
      <x:c r="S22" s="281"/>
      <x:c r="T22" s="281"/>
      <x:c r="U22" s="281"/>
      <x:c r="V22" s="281"/>
      <x:c r="W22" s="281"/>
      <x:c r="X22" s="281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281"/>
      <x:c r="B23" s="281"/>
      <x:c r="C23" s="281"/>
      <x:c r="D23" s="281"/>
      <x:c r="E23" s="281"/>
      <x:c r="F23" s="281"/>
      <x:c r="G23" s="281"/>
      <x:c r="H23" s="281"/>
      <x:c r="I23" s="281"/>
      <x:c r="J23" s="281"/>
      <x:c r="K23" s="281"/>
      <x:c r="L23" s="281"/>
      <x:c r="M23" s="281"/>
      <x:c r="N23" s="281"/>
      <x:c r="O23" s="281"/>
      <x:c r="P23" s="281"/>
      <x:c r="Q23" s="281"/>
      <x:c r="R23" s="281"/>
      <x:c r="S23" s="281"/>
      <x:c r="T23" s="281"/>
      <x:c r="U23" s="281"/>
      <x:c r="V23" s="281"/>
      <x:c r="W23" s="281"/>
      <x:c r="X23" s="281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281"/>
      <x:c r="B24" s="281"/>
      <x:c r="C24" s="281"/>
      <x:c r="D24" s="281"/>
      <x:c r="E24" s="281"/>
      <x:c r="F24" s="281"/>
      <x:c r="G24" s="281"/>
      <x:c r="H24" s="281"/>
      <x:c r="I24" s="281"/>
      <x:c r="J24" s="281"/>
      <x:c r="K24" s="281"/>
      <x:c r="L24" s="281"/>
      <x:c r="M24" s="281"/>
      <x:c r="N24" s="281"/>
      <x:c r="O24" s="281"/>
      <x:c r="P24" s="281"/>
      <x:c r="Q24" s="281"/>
      <x:c r="R24" s="281"/>
      <x:c r="S24" s="281"/>
      <x:c r="T24" s="281"/>
      <x:c r="U24" s="281"/>
      <x:c r="V24" s="281"/>
      <x:c r="W24" s="281"/>
      <x:c r="X24" s="281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281"/>
      <x:c r="B25" s="281"/>
      <x:c r="C25" s="281"/>
      <x:c r="D25" s="281"/>
      <x:c r="E25" s="281"/>
      <x:c r="F25" s="281"/>
      <x:c r="G25" s="281"/>
      <x:c r="H25" s="281"/>
      <x:c r="I25" s="281"/>
      <x:c r="J25" s="281"/>
      <x:c r="K25" s="281"/>
      <x:c r="L25" s="281"/>
      <x:c r="M25" s="281"/>
      <x:c r="N25" s="281"/>
      <x:c r="O25" s="281"/>
      <x:c r="P25" s="281"/>
      <x:c r="Q25" s="281"/>
      <x:c r="R25" s="281"/>
      <x:c r="S25" s="281"/>
      <x:c r="T25" s="281"/>
      <x:c r="U25" s="281"/>
      <x:c r="V25" s="281"/>
      <x:c r="W25" s="281"/>
      <x:c r="X25" s="281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281"/>
      <x:c r="B26" s="281"/>
      <x:c r="C26" s="281"/>
      <x:c r="D26" s="281"/>
      <x:c r="E26" s="281"/>
      <x:c r="F26" s="281"/>
      <x:c r="G26" s="281"/>
      <x:c r="H26" s="281"/>
      <x:c r="I26" s="281"/>
      <x:c r="J26" s="281"/>
      <x:c r="K26" s="281"/>
      <x:c r="L26" s="281"/>
      <x:c r="M26" s="281"/>
      <x:c r="N26" s="281"/>
      <x:c r="O26" s="281"/>
      <x:c r="P26" s="281"/>
      <x:c r="Q26" s="281"/>
      <x:c r="R26" s="281"/>
      <x:c r="S26" s="281"/>
      <x:c r="T26" s="281"/>
      <x:c r="U26" s="281"/>
      <x:c r="V26" s="281"/>
      <x:c r="W26" s="281"/>
      <x:c r="X26" s="281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281"/>
      <x:c r="B27" s="281"/>
      <x:c r="C27" s="281"/>
      <x:c r="D27" s="281"/>
      <x:c r="E27" s="281"/>
      <x:c r="F27" s="281"/>
      <x:c r="G27" s="281"/>
      <x:c r="H27" s="281"/>
      <x:c r="I27" s="281"/>
      <x:c r="J27" s="281"/>
      <x:c r="K27" s="281"/>
      <x:c r="L27" s="281"/>
      <x:c r="M27" s="281"/>
      <x:c r="N27" s="281"/>
      <x:c r="O27" s="281"/>
      <x:c r="P27" s="281"/>
      <x:c r="Q27" s="281"/>
      <x:c r="R27" s="281"/>
      <x:c r="S27" s="281"/>
      <x:c r="T27" s="281"/>
      <x:c r="U27" s="281"/>
      <x:c r="V27" s="281"/>
      <x:c r="W27" s="281"/>
      <x:c r="X27" s="281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281"/>
      <x:c r="B28" s="281"/>
      <x:c r="C28" s="281"/>
      <x:c r="D28" s="281"/>
      <x:c r="E28" s="281"/>
      <x:c r="F28" s="281"/>
      <x:c r="G28" s="281"/>
      <x:c r="H28" s="281"/>
      <x:c r="I28" s="281"/>
      <x:c r="J28" s="281"/>
      <x:c r="K28" s="281"/>
      <x:c r="L28" s="281"/>
      <x:c r="M28" s="281"/>
      <x:c r="N28" s="281"/>
      <x:c r="O28" s="281"/>
      <x:c r="P28" s="281"/>
      <x:c r="Q28" s="281"/>
      <x:c r="R28" s="281"/>
      <x:c r="S28" s="281"/>
      <x:c r="T28" s="281"/>
      <x:c r="U28" s="281"/>
      <x:c r="V28" s="281"/>
      <x:c r="W28" s="281"/>
      <x:c r="X28" s="281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281"/>
      <x:c r="B29" s="281"/>
      <x:c r="C29" s="281"/>
      <x:c r="D29" s="281"/>
      <x:c r="E29" s="281"/>
      <x:c r="F29" s="281"/>
      <x:c r="G29" s="281"/>
      <x:c r="H29" s="281"/>
      <x:c r="I29" s="281"/>
      <x:c r="J29" s="281"/>
      <x:c r="K29" s="281"/>
      <x:c r="L29" s="281"/>
      <x:c r="M29" s="281"/>
      <x:c r="N29" s="281"/>
      <x:c r="O29" s="281"/>
      <x:c r="P29" s="281"/>
      <x:c r="Q29" s="281"/>
      <x:c r="R29" s="281"/>
      <x:c r="S29" s="281"/>
      <x:c r="T29" s="281"/>
      <x:c r="U29" s="281"/>
      <x:c r="V29" s="281"/>
      <x:c r="W29" s="281"/>
      <x:c r="X29" s="281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281"/>
      <x:c r="B30" s="281"/>
      <x:c r="C30" s="281"/>
      <x:c r="D30" s="281"/>
      <x:c r="E30" s="281"/>
      <x:c r="F30" s="281"/>
      <x:c r="G30" s="281"/>
      <x:c r="H30" s="281"/>
      <x:c r="I30" s="281"/>
      <x:c r="J30" s="281"/>
      <x:c r="K30" s="281"/>
      <x:c r="L30" s="281"/>
      <x:c r="M30" s="281"/>
      <x:c r="N30" s="281"/>
      <x:c r="O30" s="281"/>
      <x:c r="P30" s="281"/>
      <x:c r="Q30" s="281"/>
      <x:c r="R30" s="281"/>
      <x:c r="S30" s="281"/>
      <x:c r="T30" s="281"/>
      <x:c r="U30" s="281"/>
      <x:c r="V30" s="281"/>
      <x:c r="W30" s="281"/>
      <x:c r="X30" s="281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281"/>
      <x:c r="B31" s="281"/>
      <x:c r="C31" s="281"/>
      <x:c r="D31" s="281"/>
      <x:c r="E31" s="281"/>
      <x:c r="F31" s="281"/>
      <x:c r="G31" s="281"/>
      <x:c r="H31" s="281"/>
      <x:c r="I31" s="281"/>
      <x:c r="J31" s="281"/>
      <x:c r="K31" s="281"/>
      <x:c r="L31" s="281"/>
      <x:c r="M31" s="281"/>
      <x:c r="N31" s="281"/>
      <x:c r="O31" s="281"/>
      <x:c r="P31" s="281"/>
      <x:c r="Q31" s="281"/>
      <x:c r="R31" s="281"/>
      <x:c r="S31" s="281"/>
      <x:c r="T31" s="281"/>
      <x:c r="U31" s="281"/>
      <x:c r="V31" s="281"/>
      <x:c r="W31" s="281"/>
      <x:c r="X31" s="281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281"/>
      <x:c r="B32" s="281"/>
      <x:c r="C32" s="281"/>
      <x:c r="D32" s="281"/>
      <x:c r="E32" s="281"/>
      <x:c r="F32" s="281"/>
      <x:c r="G32" s="281"/>
      <x:c r="H32" s="281"/>
      <x:c r="I32" s="281"/>
      <x:c r="J32" s="281"/>
      <x:c r="K32" s="281"/>
      <x:c r="L32" s="281"/>
      <x:c r="M32" s="281"/>
      <x:c r="N32" s="281"/>
      <x:c r="O32" s="281"/>
      <x:c r="P32" s="281"/>
      <x:c r="Q32" s="281"/>
      <x:c r="R32" s="281"/>
      <x:c r="S32" s="281"/>
      <x:c r="T32" s="281"/>
      <x:c r="U32" s="281"/>
      <x:c r="V32" s="281"/>
      <x:c r="W32" s="281"/>
      <x:c r="X32" s="281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281"/>
      <x:c r="B33" s="281"/>
      <x:c r="C33" s="281"/>
      <x:c r="D33" s="281"/>
      <x:c r="E33" s="281"/>
      <x:c r="F33" s="281"/>
      <x:c r="G33" s="281"/>
      <x:c r="H33" s="281"/>
      <x:c r="I33" s="281"/>
      <x:c r="J33" s="281"/>
      <x:c r="K33" s="281"/>
      <x:c r="L33" s="281"/>
      <x:c r="M33" s="281"/>
      <x:c r="N33" s="281"/>
      <x:c r="O33" s="281"/>
      <x:c r="P33" s="281"/>
      <x:c r="Q33" s="281"/>
      <x:c r="R33" s="281"/>
      <x:c r="S33" s="281"/>
      <x:c r="T33" s="281"/>
      <x:c r="U33" s="281"/>
      <x:c r="V33" s="281"/>
      <x:c r="W33" s="281"/>
      <x:c r="X33" s="281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281"/>
      <x:c r="B34" s="281"/>
      <x:c r="C34" s="281"/>
      <x:c r="D34" s="281"/>
      <x:c r="E34" s="281"/>
      <x:c r="F34" s="281"/>
      <x:c r="G34" s="281"/>
      <x:c r="H34" s="281"/>
      <x:c r="I34" s="281"/>
      <x:c r="J34" s="281"/>
      <x:c r="K34" s="281"/>
      <x:c r="L34" s="281"/>
      <x:c r="M34" s="281"/>
      <x:c r="N34" s="281"/>
      <x:c r="O34" s="281"/>
      <x:c r="P34" s="281"/>
      <x:c r="Q34" s="281"/>
      <x:c r="R34" s="281"/>
      <x:c r="S34" s="281"/>
      <x:c r="T34" s="281"/>
      <x:c r="U34" s="281"/>
      <x:c r="V34" s="281"/>
      <x:c r="W34" s="281"/>
      <x:c r="X34" s="281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281"/>
      <x:c r="B35" s="281"/>
      <x:c r="C35" s="281"/>
      <x:c r="D35" s="281"/>
      <x:c r="E35" s="281"/>
      <x:c r="F35" s="281"/>
      <x:c r="G35" s="281"/>
      <x:c r="H35" s="281"/>
      <x:c r="I35" s="281"/>
      <x:c r="J35" s="281"/>
      <x:c r="K35" s="281"/>
      <x:c r="L35" s="281"/>
      <x:c r="M35" s="281"/>
      <x:c r="N35" s="281"/>
      <x:c r="O35" s="281"/>
      <x:c r="P35" s="281"/>
      <x:c r="Q35" s="281"/>
      <x:c r="R35" s="281"/>
      <x:c r="S35" s="281"/>
      <x:c r="T35" s="281"/>
      <x:c r="U35" s="281"/>
      <x:c r="V35" s="281"/>
      <x:c r="W35" s="281"/>
      <x:c r="X35" s="281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281"/>
      <x:c r="B36" s="281"/>
      <x:c r="C36" s="281"/>
      <x:c r="D36" s="281"/>
      <x:c r="E36" s="281"/>
      <x:c r="F36" s="281"/>
      <x:c r="G36" s="281"/>
      <x:c r="H36" s="281"/>
      <x:c r="I36" s="281"/>
      <x:c r="J36" s="281"/>
      <x:c r="K36" s="281"/>
      <x:c r="L36" s="281"/>
      <x:c r="M36" s="281"/>
      <x:c r="N36" s="281"/>
      <x:c r="O36" s="281"/>
      <x:c r="P36" s="281"/>
      <x:c r="Q36" s="281"/>
      <x:c r="R36" s="281"/>
      <x:c r="S36" s="281"/>
      <x:c r="T36" s="281"/>
      <x:c r="U36" s="281"/>
      <x:c r="V36" s="281"/>
      <x:c r="W36" s="281"/>
      <x:c r="X36" s="281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281"/>
      <x:c r="B37" s="281"/>
      <x:c r="C37" s="281"/>
      <x:c r="D37" s="281"/>
      <x:c r="E37" s="281"/>
      <x:c r="F37" s="281"/>
      <x:c r="G37" s="281"/>
      <x:c r="H37" s="281"/>
      <x:c r="I37" s="281"/>
      <x:c r="J37" s="281"/>
      <x:c r="K37" s="281"/>
      <x:c r="L37" s="281"/>
      <x:c r="M37" s="281"/>
      <x:c r="N37" s="281"/>
      <x:c r="O37" s="281"/>
      <x:c r="P37" s="281"/>
      <x:c r="Q37" s="281"/>
      <x:c r="R37" s="281"/>
      <x:c r="S37" s="281"/>
      <x:c r="T37" s="281"/>
      <x:c r="U37" s="281"/>
      <x:c r="V37" s="281"/>
      <x:c r="W37" s="281"/>
      <x:c r="X37" s="281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281"/>
      <x:c r="B38" s="281"/>
      <x:c r="C38" s="281"/>
      <x:c r="D38" s="281"/>
      <x:c r="E38" s="281"/>
      <x:c r="F38" s="281"/>
      <x:c r="G38" s="281"/>
      <x:c r="H38" s="281"/>
      <x:c r="I38" s="281"/>
      <x:c r="J38" s="281"/>
      <x:c r="K38" s="281"/>
      <x:c r="L38" s="281"/>
      <x:c r="M38" s="281"/>
      <x:c r="N38" s="281"/>
      <x:c r="O38" s="281"/>
      <x:c r="P38" s="281"/>
      <x:c r="Q38" s="281"/>
      <x:c r="R38" s="281"/>
      <x:c r="S38" s="281"/>
      <x:c r="T38" s="281"/>
      <x:c r="U38" s="281"/>
      <x:c r="V38" s="281"/>
      <x:c r="W38" s="281"/>
      <x:c r="X38" s="281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281"/>
      <x:c r="B39" s="281"/>
      <x:c r="C39" s="281"/>
      <x:c r="D39" s="281"/>
      <x:c r="E39" s="281"/>
      <x:c r="F39" s="281"/>
      <x:c r="G39" s="281"/>
      <x:c r="H39" s="281"/>
      <x:c r="I39" s="281"/>
      <x:c r="J39" s="281"/>
      <x:c r="K39" s="281"/>
      <x:c r="L39" s="281"/>
      <x:c r="M39" s="281"/>
      <x:c r="N39" s="281"/>
      <x:c r="O39" s="281"/>
      <x:c r="P39" s="281"/>
      <x:c r="Q39" s="281"/>
      <x:c r="R39" s="281"/>
      <x:c r="S39" s="281"/>
      <x:c r="T39" s="281"/>
      <x:c r="U39" s="281"/>
      <x:c r="V39" s="281"/>
      <x:c r="W39" s="281"/>
      <x:c r="X39" s="281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281"/>
      <x:c r="B40" s="281"/>
      <x:c r="C40" s="281"/>
      <x:c r="D40" s="281"/>
      <x:c r="E40" s="281"/>
      <x:c r="F40" s="281"/>
      <x:c r="G40" s="281"/>
      <x:c r="H40" s="281"/>
      <x:c r="I40" s="281"/>
      <x:c r="J40" s="281"/>
      <x:c r="K40" s="281"/>
      <x:c r="L40" s="281"/>
      <x:c r="M40" s="281"/>
      <x:c r="N40" s="281"/>
      <x:c r="O40" s="281"/>
      <x:c r="P40" s="281"/>
      <x:c r="Q40" s="281"/>
      <x:c r="R40" s="281"/>
      <x:c r="S40" s="281"/>
      <x:c r="T40" s="281"/>
      <x:c r="U40" s="281"/>
      <x:c r="V40" s="281"/>
      <x:c r="W40" s="281"/>
      <x:c r="X40" s="281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281"/>
      <x:c r="B41" s="281"/>
      <x:c r="C41" s="281"/>
      <x:c r="D41" s="281"/>
      <x:c r="E41" s="281"/>
      <x:c r="F41" s="281"/>
      <x:c r="G41" s="281"/>
      <x:c r="H41" s="281"/>
      <x:c r="I41" s="281"/>
      <x:c r="J41" s="281"/>
      <x:c r="K41" s="281"/>
      <x:c r="L41" s="281"/>
      <x:c r="M41" s="281"/>
      <x:c r="N41" s="281"/>
      <x:c r="O41" s="281"/>
      <x:c r="P41" s="281"/>
      <x:c r="Q41" s="281"/>
      <x:c r="R41" s="281"/>
      <x:c r="S41" s="281"/>
      <x:c r="T41" s="281"/>
      <x:c r="U41" s="281"/>
      <x:c r="V41" s="281"/>
      <x:c r="W41" s="281"/>
      <x:c r="X41" s="281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281"/>
      <x:c r="B42" s="281"/>
      <x:c r="C42" s="281"/>
      <x:c r="D42" s="281"/>
      <x:c r="E42" s="281"/>
      <x:c r="F42" s="281"/>
      <x:c r="G42" s="281"/>
      <x:c r="H42" s="281"/>
      <x:c r="I42" s="281"/>
      <x:c r="J42" s="281"/>
      <x:c r="K42" s="281"/>
      <x:c r="L42" s="281"/>
      <x:c r="M42" s="281"/>
      <x:c r="N42" s="281"/>
      <x:c r="O42" s="281"/>
      <x:c r="P42" s="281"/>
      <x:c r="Q42" s="281"/>
      <x:c r="R42" s="281"/>
      <x:c r="S42" s="281"/>
      <x:c r="T42" s="281"/>
      <x:c r="U42" s="281"/>
      <x:c r="V42" s="281"/>
      <x:c r="W42" s="281"/>
      <x:c r="X42" s="281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281"/>
      <x:c r="B43" s="281"/>
      <x:c r="C43" s="281"/>
      <x:c r="D43" s="281"/>
      <x:c r="E43" s="281"/>
      <x:c r="F43" s="281"/>
      <x:c r="G43" s="281"/>
      <x:c r="H43" s="281"/>
      <x:c r="I43" s="281"/>
      <x:c r="J43" s="281"/>
      <x:c r="K43" s="281"/>
      <x:c r="L43" s="281"/>
      <x:c r="M43" s="281"/>
      <x:c r="N43" s="281"/>
      <x:c r="O43" s="281"/>
      <x:c r="P43" s="281"/>
      <x:c r="Q43" s="281"/>
      <x:c r="R43" s="281"/>
      <x:c r="S43" s="281"/>
      <x:c r="T43" s="281"/>
      <x:c r="U43" s="281"/>
      <x:c r="V43" s="281"/>
      <x:c r="W43" s="281"/>
      <x:c r="X43" s="281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281"/>
      <x:c r="B44" s="281"/>
      <x:c r="C44" s="281"/>
      <x:c r="D44" s="281"/>
      <x:c r="E44" s="281"/>
      <x:c r="F44" s="281"/>
      <x:c r="G44" s="281"/>
      <x:c r="H44" s="281"/>
      <x:c r="I44" s="281"/>
      <x:c r="J44" s="281"/>
      <x:c r="K44" s="281"/>
      <x:c r="L44" s="281"/>
      <x:c r="M44" s="281"/>
      <x:c r="N44" s="281"/>
      <x:c r="O44" s="281"/>
      <x:c r="P44" s="281"/>
      <x:c r="Q44" s="281"/>
      <x:c r="R44" s="281"/>
      <x:c r="S44" s="281"/>
      <x:c r="T44" s="281"/>
      <x:c r="U44" s="281"/>
      <x:c r="V44" s="281"/>
      <x:c r="W44" s="281"/>
      <x:c r="X44" s="281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281"/>
      <x:c r="B45" s="281"/>
      <x:c r="C45" s="281"/>
      <x:c r="D45" s="281"/>
      <x:c r="E45" s="281"/>
      <x:c r="F45" s="281"/>
      <x:c r="G45" s="281"/>
      <x:c r="H45" s="281"/>
      <x:c r="I45" s="281"/>
      <x:c r="J45" s="281"/>
      <x:c r="K45" s="281"/>
      <x:c r="L45" s="281"/>
      <x:c r="M45" s="281"/>
      <x:c r="N45" s="281"/>
      <x:c r="O45" s="281"/>
      <x:c r="P45" s="281"/>
      <x:c r="Q45" s="281"/>
      <x:c r="R45" s="281"/>
      <x:c r="S45" s="281"/>
      <x:c r="T45" s="281"/>
      <x:c r="U45" s="281"/>
      <x:c r="V45" s="281"/>
      <x:c r="W45" s="281"/>
      <x:c r="X45" s="281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281"/>
      <x:c r="B46" s="281"/>
      <x:c r="C46" s="281"/>
      <x:c r="D46" s="281"/>
      <x:c r="E46" s="281"/>
      <x:c r="F46" s="281"/>
      <x:c r="G46" s="281"/>
      <x:c r="H46" s="281"/>
      <x:c r="I46" s="281"/>
      <x:c r="J46" s="281"/>
      <x:c r="K46" s="281"/>
      <x:c r="L46" s="281"/>
      <x:c r="M46" s="281"/>
      <x:c r="N46" s="281"/>
      <x:c r="O46" s="281"/>
      <x:c r="P46" s="281"/>
      <x:c r="Q46" s="281"/>
      <x:c r="R46" s="281"/>
      <x:c r="S46" s="281"/>
      <x:c r="T46" s="281"/>
      <x:c r="U46" s="281"/>
      <x:c r="V46" s="281"/>
      <x:c r="W46" s="281"/>
      <x:c r="X46" s="281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281"/>
      <x:c r="B47" s="281"/>
      <x:c r="C47" s="281"/>
      <x:c r="D47" s="281"/>
      <x:c r="E47" s="281"/>
      <x:c r="F47" s="281"/>
      <x:c r="G47" s="281"/>
      <x:c r="H47" s="281"/>
      <x:c r="I47" s="281"/>
      <x:c r="J47" s="281"/>
      <x:c r="K47" s="281"/>
      <x:c r="L47" s="281"/>
      <x:c r="M47" s="281"/>
      <x:c r="N47" s="281"/>
      <x:c r="O47" s="281"/>
      <x:c r="P47" s="281"/>
      <x:c r="Q47" s="281"/>
      <x:c r="R47" s="281"/>
      <x:c r="S47" s="281"/>
      <x:c r="T47" s="281"/>
      <x:c r="U47" s="281"/>
      <x:c r="V47" s="281"/>
      <x:c r="W47" s="281"/>
      <x:c r="X47" s="281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281"/>
      <x:c r="B48" s="281"/>
      <x:c r="C48" s="281"/>
      <x:c r="D48" s="281"/>
      <x:c r="E48" s="281"/>
      <x:c r="F48" s="281"/>
      <x:c r="G48" s="281"/>
      <x:c r="H48" s="281"/>
      <x:c r="I48" s="281"/>
      <x:c r="J48" s="281"/>
      <x:c r="K48" s="281"/>
      <x:c r="L48" s="281"/>
      <x:c r="M48" s="281"/>
      <x:c r="N48" s="281"/>
      <x:c r="O48" s="281"/>
      <x:c r="P48" s="281"/>
      <x:c r="Q48" s="281"/>
      <x:c r="R48" s="281"/>
      <x:c r="S48" s="281"/>
      <x:c r="T48" s="281"/>
      <x:c r="U48" s="281"/>
      <x:c r="V48" s="281"/>
      <x:c r="W48" s="281"/>
      <x:c r="X48" s="281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281"/>
      <x:c r="B49" s="281"/>
      <x:c r="C49" s="281"/>
      <x:c r="D49" s="281"/>
      <x:c r="E49" s="281"/>
      <x:c r="F49" s="281"/>
      <x:c r="G49" s="281"/>
      <x:c r="H49" s="281"/>
      <x:c r="I49" s="281"/>
      <x:c r="J49" s="281"/>
      <x:c r="K49" s="281"/>
      <x:c r="L49" s="281"/>
      <x:c r="M49" s="281"/>
      <x:c r="N49" s="281"/>
      <x:c r="O49" s="281"/>
      <x:c r="P49" s="281"/>
      <x:c r="Q49" s="281"/>
      <x:c r="R49" s="281"/>
      <x:c r="S49" s="281"/>
      <x:c r="T49" s="281"/>
      <x:c r="U49" s="281"/>
      <x:c r="V49" s="281"/>
      <x:c r="W49" s="281"/>
      <x:c r="X49" s="281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281"/>
      <x:c r="B50" s="281"/>
      <x:c r="C50" s="281"/>
      <x:c r="D50" s="281"/>
      <x:c r="E50" s="281"/>
      <x:c r="F50" s="281"/>
      <x:c r="G50" s="281"/>
      <x:c r="H50" s="281"/>
      <x:c r="I50" s="281"/>
      <x:c r="J50" s="281"/>
      <x:c r="K50" s="281"/>
      <x:c r="L50" s="281"/>
      <x:c r="M50" s="281"/>
      <x:c r="N50" s="281"/>
      <x:c r="O50" s="281"/>
      <x:c r="P50" s="281"/>
      <x:c r="Q50" s="281"/>
      <x:c r="R50" s="281"/>
      <x:c r="S50" s="281"/>
      <x:c r="T50" s="281"/>
      <x:c r="U50" s="281"/>
      <x:c r="V50" s="281"/>
      <x:c r="W50" s="281"/>
      <x:c r="X50" s="281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281"/>
      <x:c r="B51" s="281"/>
      <x:c r="C51" s="281"/>
      <x:c r="D51" s="281"/>
      <x:c r="E51" s="281"/>
      <x:c r="F51" s="281"/>
      <x:c r="G51" s="281"/>
      <x:c r="H51" s="281"/>
      <x:c r="I51" s="281"/>
      <x:c r="J51" s="281"/>
      <x:c r="K51" s="281"/>
      <x:c r="L51" s="281"/>
      <x:c r="M51" s="281"/>
      <x:c r="N51" s="281"/>
      <x:c r="O51" s="281"/>
      <x:c r="P51" s="281"/>
      <x:c r="Q51" s="281"/>
      <x:c r="R51" s="281"/>
      <x:c r="S51" s="281"/>
      <x:c r="T51" s="281"/>
      <x:c r="U51" s="281"/>
      <x:c r="V51" s="281"/>
      <x:c r="W51" s="281"/>
      <x:c r="X51" s="281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281"/>
      <x:c r="B52" s="281"/>
      <x:c r="C52" s="281"/>
      <x:c r="D52" s="281"/>
      <x:c r="E52" s="281"/>
      <x:c r="F52" s="281"/>
      <x:c r="G52" s="281"/>
      <x:c r="H52" s="281"/>
      <x:c r="I52" s="281"/>
      <x:c r="J52" s="281"/>
      <x:c r="K52" s="281"/>
      <x:c r="L52" s="281"/>
      <x:c r="M52" s="281"/>
      <x:c r="N52" s="281"/>
      <x:c r="O52" s="281"/>
      <x:c r="P52" s="281"/>
      <x:c r="Q52" s="281"/>
      <x:c r="R52" s="281"/>
      <x:c r="S52" s="281"/>
      <x:c r="T52" s="281"/>
      <x:c r="U52" s="281"/>
      <x:c r="V52" s="281"/>
      <x:c r="W52" s="281"/>
      <x:c r="X52" s="281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281"/>
      <x:c r="B53" s="281"/>
      <x:c r="C53" s="281"/>
      <x:c r="D53" s="281"/>
      <x:c r="E53" s="281"/>
      <x:c r="F53" s="281"/>
      <x:c r="G53" s="281"/>
      <x:c r="H53" s="281"/>
      <x:c r="I53" s="281"/>
      <x:c r="J53" s="281"/>
      <x:c r="K53" s="281"/>
      <x:c r="L53" s="281"/>
      <x:c r="M53" s="281"/>
      <x:c r="N53" s="281"/>
      <x:c r="O53" s="281"/>
      <x:c r="P53" s="281"/>
      <x:c r="Q53" s="281"/>
      <x:c r="R53" s="281"/>
      <x:c r="S53" s="281"/>
      <x:c r="T53" s="281"/>
      <x:c r="U53" s="281"/>
      <x:c r="V53" s="281"/>
      <x:c r="W53" s="281"/>
      <x:c r="X53" s="281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281"/>
      <x:c r="B54" s="281"/>
      <x:c r="C54" s="281"/>
      <x:c r="D54" s="281"/>
      <x:c r="E54" s="281"/>
      <x:c r="F54" s="281"/>
      <x:c r="G54" s="281"/>
      <x:c r="H54" s="281"/>
      <x:c r="I54" s="281"/>
      <x:c r="J54" s="281"/>
      <x:c r="K54" s="281"/>
      <x:c r="L54" s="281"/>
      <x:c r="M54" s="281"/>
      <x:c r="N54" s="281"/>
      <x:c r="O54" s="281"/>
      <x:c r="P54" s="281"/>
      <x:c r="Q54" s="281"/>
      <x:c r="R54" s="281"/>
      <x:c r="S54" s="281"/>
      <x:c r="T54" s="281"/>
      <x:c r="U54" s="281"/>
      <x:c r="V54" s="281"/>
      <x:c r="W54" s="281"/>
      <x:c r="X54" s="281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281"/>
      <x:c r="B55" s="281"/>
      <x:c r="C55" s="281"/>
      <x:c r="D55" s="281"/>
      <x:c r="E55" s="281"/>
      <x:c r="F55" s="281"/>
      <x:c r="G55" s="281"/>
      <x:c r="H55" s="281"/>
      <x:c r="I55" s="281"/>
      <x:c r="J55" s="281"/>
      <x:c r="K55" s="281"/>
      <x:c r="L55" s="281"/>
      <x:c r="M55" s="281"/>
      <x:c r="N55" s="281"/>
      <x:c r="O55" s="281"/>
      <x:c r="P55" s="281"/>
      <x:c r="Q55" s="281"/>
      <x:c r="R55" s="281"/>
      <x:c r="S55" s="281"/>
      <x:c r="T55" s="281"/>
      <x:c r="U55" s="281"/>
      <x:c r="V55" s="281"/>
      <x:c r="W55" s="281"/>
      <x:c r="X55" s="281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281"/>
      <x:c r="B56" s="281"/>
      <x:c r="C56" s="281"/>
      <x:c r="D56" s="281"/>
      <x:c r="E56" s="281"/>
      <x:c r="F56" s="281"/>
      <x:c r="G56" s="281"/>
      <x:c r="H56" s="281"/>
      <x:c r="I56" s="281"/>
      <x:c r="J56" s="281"/>
      <x:c r="K56" s="281"/>
      <x:c r="L56" s="281"/>
      <x:c r="M56" s="281"/>
      <x:c r="N56" s="281"/>
      <x:c r="O56" s="281"/>
      <x:c r="P56" s="281"/>
      <x:c r="Q56" s="281"/>
      <x:c r="R56" s="281"/>
      <x:c r="S56" s="281"/>
      <x:c r="T56" s="281"/>
      <x:c r="U56" s="281"/>
      <x:c r="V56" s="281"/>
      <x:c r="W56" s="281"/>
      <x:c r="X56" s="281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281"/>
      <x:c r="B57" s="281"/>
      <x:c r="C57" s="281"/>
      <x:c r="D57" s="281"/>
      <x:c r="E57" s="281"/>
      <x:c r="F57" s="281"/>
      <x:c r="G57" s="281"/>
      <x:c r="H57" s="281"/>
      <x:c r="I57" s="281"/>
      <x:c r="J57" s="281"/>
      <x:c r="K57" s="281"/>
      <x:c r="L57" s="281"/>
      <x:c r="M57" s="281"/>
      <x:c r="N57" s="281"/>
      <x:c r="O57" s="281"/>
      <x:c r="P57" s="281"/>
      <x:c r="Q57" s="281"/>
      <x:c r="R57" s="281"/>
      <x:c r="S57" s="281"/>
      <x:c r="T57" s="281"/>
      <x:c r="U57" s="281"/>
      <x:c r="V57" s="281"/>
      <x:c r="W57" s="281"/>
      <x:c r="X57" s="281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281"/>
      <x:c r="B58" s="281"/>
      <x:c r="C58" s="281"/>
      <x:c r="D58" s="281"/>
      <x:c r="E58" s="281"/>
      <x:c r="F58" s="281"/>
      <x:c r="G58" s="281"/>
      <x:c r="H58" s="281"/>
      <x:c r="I58" s="281"/>
      <x:c r="J58" s="281"/>
      <x:c r="K58" s="281"/>
      <x:c r="L58" s="281"/>
      <x:c r="M58" s="281"/>
      <x:c r="N58" s="281"/>
      <x:c r="O58" s="281"/>
      <x:c r="P58" s="281"/>
      <x:c r="Q58" s="281"/>
      <x:c r="R58" s="281"/>
      <x:c r="S58" s="281"/>
      <x:c r="T58" s="281"/>
      <x:c r="U58" s="281"/>
      <x:c r="V58" s="281"/>
      <x:c r="W58" s="281"/>
      <x:c r="X58" s="281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281"/>
      <x:c r="B59" s="281"/>
      <x:c r="C59" s="281"/>
      <x:c r="D59" s="281"/>
      <x:c r="E59" s="281"/>
      <x:c r="F59" s="281"/>
      <x:c r="G59" s="281"/>
      <x:c r="H59" s="281"/>
      <x:c r="I59" s="281"/>
      <x:c r="J59" s="281"/>
      <x:c r="K59" s="281"/>
      <x:c r="L59" s="281"/>
      <x:c r="M59" s="281"/>
      <x:c r="N59" s="281"/>
      <x:c r="O59" s="281"/>
      <x:c r="P59" s="281"/>
      <x:c r="Q59" s="281"/>
      <x:c r="R59" s="281"/>
      <x:c r="S59" s="281"/>
      <x:c r="T59" s="281"/>
      <x:c r="U59" s="281"/>
      <x:c r="V59" s="281"/>
      <x:c r="W59" s="281"/>
      <x:c r="X59" s="281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281"/>
      <x:c r="B60" s="281"/>
      <x:c r="C60" s="281"/>
      <x:c r="D60" s="281"/>
      <x:c r="E60" s="281"/>
      <x:c r="F60" s="281"/>
      <x:c r="G60" s="281"/>
      <x:c r="H60" s="281"/>
      <x:c r="I60" s="281"/>
      <x:c r="J60" s="281"/>
      <x:c r="K60" s="281"/>
      <x:c r="L60" s="281"/>
      <x:c r="M60" s="281"/>
      <x:c r="N60" s="281"/>
      <x:c r="O60" s="281"/>
      <x:c r="P60" s="281"/>
      <x:c r="Q60" s="281"/>
      <x:c r="R60" s="281"/>
      <x:c r="S60" s="281"/>
      <x:c r="T60" s="281"/>
      <x:c r="U60" s="281"/>
      <x:c r="V60" s="281"/>
      <x:c r="W60" s="281"/>
      <x:c r="X60" s="281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281"/>
      <x:c r="B61" s="281"/>
      <x:c r="C61" s="281"/>
      <x:c r="D61" s="281"/>
      <x:c r="E61" s="281"/>
      <x:c r="F61" s="281"/>
      <x:c r="G61" s="281"/>
      <x:c r="H61" s="281"/>
      <x:c r="I61" s="281"/>
      <x:c r="J61" s="281"/>
      <x:c r="K61" s="281"/>
      <x:c r="L61" s="281"/>
      <x:c r="M61" s="281"/>
      <x:c r="N61" s="281"/>
      <x:c r="O61" s="281"/>
      <x:c r="P61" s="281"/>
      <x:c r="Q61" s="281"/>
      <x:c r="R61" s="281"/>
      <x:c r="S61" s="281"/>
      <x:c r="T61" s="281"/>
      <x:c r="U61" s="281"/>
      <x:c r="V61" s="281"/>
      <x:c r="W61" s="281"/>
      <x:c r="X61" s="281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281"/>
      <x:c r="B62" s="281"/>
      <x:c r="C62" s="281"/>
      <x:c r="D62" s="281"/>
      <x:c r="E62" s="281"/>
      <x:c r="F62" s="281"/>
      <x:c r="G62" s="281"/>
      <x:c r="H62" s="281"/>
      <x:c r="I62" s="281"/>
      <x:c r="J62" s="281"/>
      <x:c r="K62" s="281"/>
      <x:c r="L62" s="281"/>
      <x:c r="M62" s="281"/>
      <x:c r="N62" s="281"/>
      <x:c r="O62" s="281"/>
      <x:c r="P62" s="281"/>
      <x:c r="Q62" s="281"/>
      <x:c r="R62" s="281"/>
      <x:c r="S62" s="281"/>
      <x:c r="T62" s="281"/>
      <x:c r="U62" s="281"/>
      <x:c r="V62" s="281"/>
      <x:c r="W62" s="281"/>
      <x:c r="X62" s="281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281"/>
      <x:c r="B63" s="281"/>
      <x:c r="C63" s="281"/>
      <x:c r="D63" s="281"/>
      <x:c r="E63" s="281"/>
      <x:c r="F63" s="281"/>
      <x:c r="G63" s="281"/>
      <x:c r="H63" s="281"/>
      <x:c r="I63" s="281"/>
      <x:c r="J63" s="281"/>
      <x:c r="K63" s="281"/>
      <x:c r="L63" s="281"/>
      <x:c r="M63" s="281"/>
      <x:c r="N63" s="281"/>
      <x:c r="O63" s="281"/>
      <x:c r="P63" s="281"/>
      <x:c r="Q63" s="281"/>
      <x:c r="R63" s="281"/>
      <x:c r="S63" s="281"/>
      <x:c r="T63" s="281"/>
      <x:c r="U63" s="281"/>
      <x:c r="V63" s="281"/>
      <x:c r="W63" s="281"/>
      <x:c r="X63" s="281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281"/>
      <x:c r="B64" s="281"/>
      <x:c r="C64" s="281"/>
      <x:c r="D64" s="281"/>
      <x:c r="E64" s="281"/>
      <x:c r="F64" s="281"/>
      <x:c r="G64" s="281"/>
      <x:c r="H64" s="281"/>
      <x:c r="I64" s="281"/>
      <x:c r="J64" s="281"/>
      <x:c r="K64" s="281"/>
      <x:c r="L64" s="281"/>
      <x:c r="M64" s="281"/>
      <x:c r="N64" s="281"/>
      <x:c r="O64" s="281"/>
      <x:c r="P64" s="281"/>
      <x:c r="Q64" s="281"/>
      <x:c r="R64" s="281"/>
      <x:c r="S64" s="281"/>
      <x:c r="T64" s="281"/>
      <x:c r="U64" s="281"/>
      <x:c r="V64" s="281"/>
      <x:c r="W64" s="281"/>
      <x:c r="X64" s="281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281"/>
      <x:c r="B65" s="281"/>
      <x:c r="C65" s="281"/>
      <x:c r="D65" s="281"/>
      <x:c r="E65" s="281"/>
      <x:c r="F65" s="281"/>
      <x:c r="G65" s="281"/>
      <x:c r="H65" s="281"/>
      <x:c r="I65" s="281"/>
      <x:c r="J65" s="281"/>
      <x:c r="K65" s="281"/>
      <x:c r="L65" s="281"/>
      <x:c r="M65" s="281"/>
      <x:c r="N65" s="281"/>
      <x:c r="O65" s="281"/>
      <x:c r="P65" s="281"/>
      <x:c r="Q65" s="281"/>
      <x:c r="R65" s="281"/>
      <x:c r="S65" s="281"/>
      <x:c r="T65" s="281"/>
      <x:c r="U65" s="281"/>
      <x:c r="V65" s="281"/>
      <x:c r="W65" s="281"/>
      <x:c r="X65" s="281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281"/>
      <x:c r="B66" s="281"/>
      <x:c r="C66" s="281"/>
      <x:c r="D66" s="281"/>
      <x:c r="E66" s="281"/>
      <x:c r="F66" s="281"/>
      <x:c r="G66" s="281"/>
      <x:c r="H66" s="281"/>
      <x:c r="I66" s="281"/>
      <x:c r="J66" s="281"/>
      <x:c r="K66" s="281"/>
      <x:c r="L66" s="281"/>
      <x:c r="M66" s="281"/>
      <x:c r="N66" s="281"/>
      <x:c r="O66" s="281"/>
      <x:c r="P66" s="281"/>
      <x:c r="Q66" s="281"/>
      <x:c r="R66" s="281"/>
      <x:c r="S66" s="281"/>
      <x:c r="T66" s="281"/>
      <x:c r="U66" s="281"/>
      <x:c r="V66" s="281"/>
      <x:c r="W66" s="281"/>
      <x:c r="X66" s="281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281"/>
      <x:c r="B67" s="281"/>
      <x:c r="C67" s="281"/>
      <x:c r="D67" s="281"/>
      <x:c r="E67" s="281"/>
      <x:c r="F67" s="281"/>
      <x:c r="G67" s="281"/>
      <x:c r="H67" s="281"/>
      <x:c r="I67" s="281"/>
      <x:c r="J67" s="281"/>
      <x:c r="K67" s="281"/>
      <x:c r="L67" s="281"/>
      <x:c r="M67" s="281"/>
      <x:c r="N67" s="281"/>
      <x:c r="O67" s="281"/>
      <x:c r="P67" s="281"/>
      <x:c r="Q67" s="281"/>
      <x:c r="R67" s="281"/>
      <x:c r="S67" s="281"/>
      <x:c r="T67" s="281"/>
      <x:c r="U67" s="281"/>
      <x:c r="V67" s="281"/>
      <x:c r="W67" s="281"/>
      <x:c r="X67" s="281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281"/>
      <x:c r="B68" s="281"/>
      <x:c r="C68" s="281"/>
      <x:c r="D68" s="281"/>
      <x:c r="E68" s="281"/>
      <x:c r="F68" s="281"/>
      <x:c r="G68" s="281"/>
      <x:c r="H68" s="281"/>
      <x:c r="I68" s="281"/>
      <x:c r="J68" s="281"/>
      <x:c r="K68" s="281"/>
      <x:c r="L68" s="281"/>
      <x:c r="M68" s="281"/>
      <x:c r="N68" s="281"/>
      <x:c r="O68" s="281"/>
      <x:c r="P68" s="281"/>
      <x:c r="Q68" s="281"/>
      <x:c r="R68" s="281"/>
      <x:c r="S68" s="281"/>
      <x:c r="T68" s="281"/>
      <x:c r="U68" s="281"/>
      <x:c r="V68" s="281"/>
      <x:c r="W68" s="281"/>
      <x:c r="X68" s="281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281"/>
      <x:c r="B69" s="281"/>
      <x:c r="C69" s="281"/>
      <x:c r="D69" s="281"/>
      <x:c r="E69" s="281"/>
      <x:c r="F69" s="281"/>
      <x:c r="G69" s="281"/>
      <x:c r="H69" s="281"/>
      <x:c r="I69" s="281"/>
      <x:c r="J69" s="281"/>
      <x:c r="K69" s="281"/>
      <x:c r="L69" s="281"/>
      <x:c r="M69" s="281"/>
      <x:c r="N69" s="281"/>
      <x:c r="O69" s="281"/>
      <x:c r="P69" s="281"/>
      <x:c r="Q69" s="281"/>
      <x:c r="R69" s="281"/>
      <x:c r="S69" s="281"/>
      <x:c r="T69" s="281"/>
      <x:c r="U69" s="281"/>
      <x:c r="V69" s="281"/>
      <x:c r="W69" s="281"/>
      <x:c r="X69" s="281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281"/>
      <x:c r="B70" s="281"/>
      <x:c r="C70" s="281"/>
      <x:c r="D70" s="281"/>
      <x:c r="E70" s="281"/>
      <x:c r="F70" s="281"/>
      <x:c r="G70" s="281"/>
      <x:c r="H70" s="281"/>
      <x:c r="I70" s="281"/>
      <x:c r="J70" s="281"/>
      <x:c r="K70" s="281"/>
      <x:c r="L70" s="281"/>
      <x:c r="M70" s="281"/>
      <x:c r="N70" s="281"/>
      <x:c r="O70" s="281"/>
      <x:c r="P70" s="281"/>
      <x:c r="Q70" s="281"/>
      <x:c r="R70" s="281"/>
      <x:c r="S70" s="281"/>
      <x:c r="T70" s="281"/>
      <x:c r="U70" s="281"/>
      <x:c r="V70" s="281"/>
      <x:c r="W70" s="281"/>
      <x:c r="X70" s="281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281"/>
      <x:c r="B71" s="281"/>
      <x:c r="C71" s="281"/>
      <x:c r="D71" s="281"/>
      <x:c r="E71" s="281"/>
      <x:c r="F71" s="281"/>
      <x:c r="G71" s="281"/>
      <x:c r="H71" s="281"/>
      <x:c r="I71" s="281"/>
      <x:c r="J71" s="281"/>
      <x:c r="K71" s="281"/>
      <x:c r="L71" s="281"/>
      <x:c r="M71" s="281"/>
      <x:c r="N71" s="281"/>
      <x:c r="O71" s="281"/>
      <x:c r="P71" s="281"/>
      <x:c r="Q71" s="281"/>
      <x:c r="R71" s="281"/>
      <x:c r="S71" s="281"/>
      <x:c r="T71" s="281"/>
      <x:c r="U71" s="281"/>
      <x:c r="V71" s="281"/>
      <x:c r="W71" s="281"/>
      <x:c r="X71" s="281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281"/>
      <x:c r="B72" s="281"/>
      <x:c r="C72" s="281"/>
      <x:c r="D72" s="281"/>
      <x:c r="E72" s="281"/>
      <x:c r="F72" s="281"/>
      <x:c r="G72" s="281"/>
      <x:c r="H72" s="281"/>
      <x:c r="I72" s="281"/>
      <x:c r="J72" s="281"/>
      <x:c r="K72" s="281"/>
      <x:c r="L72" s="281"/>
      <x:c r="M72" s="281"/>
      <x:c r="N72" s="281"/>
      <x:c r="O72" s="281"/>
      <x:c r="P72" s="281"/>
      <x:c r="Q72" s="281"/>
      <x:c r="R72" s="281"/>
      <x:c r="S72" s="281"/>
      <x:c r="T72" s="281"/>
      <x:c r="U72" s="281"/>
      <x:c r="V72" s="281"/>
      <x:c r="W72" s="281"/>
      <x:c r="X72" s="281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281"/>
      <x:c r="B73" s="281"/>
      <x:c r="C73" s="281"/>
      <x:c r="D73" s="281"/>
      <x:c r="E73" s="281"/>
      <x:c r="F73" s="281"/>
      <x:c r="G73" s="281"/>
      <x:c r="H73" s="281"/>
      <x:c r="I73" s="281"/>
      <x:c r="J73" s="281"/>
      <x:c r="K73" s="281"/>
      <x:c r="L73" s="281"/>
      <x:c r="M73" s="281"/>
      <x:c r="N73" s="281"/>
      <x:c r="O73" s="281"/>
      <x:c r="P73" s="281"/>
      <x:c r="Q73" s="281"/>
      <x:c r="R73" s="281"/>
      <x:c r="S73" s="281"/>
      <x:c r="T73" s="281"/>
      <x:c r="U73" s="281"/>
      <x:c r="V73" s="281"/>
      <x:c r="W73" s="281"/>
      <x:c r="X73" s="281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281"/>
      <x:c r="B74" s="281"/>
      <x:c r="C74" s="281"/>
      <x:c r="D74" s="281"/>
      <x:c r="E74" s="281"/>
      <x:c r="F74" s="281"/>
      <x:c r="G74" s="281"/>
      <x:c r="H74" s="281"/>
      <x:c r="I74" s="281"/>
      <x:c r="J74" s="281"/>
      <x:c r="K74" s="281"/>
      <x:c r="L74" s="281"/>
      <x:c r="M74" s="281"/>
      <x:c r="N74" s="281"/>
      <x:c r="O74" s="281"/>
      <x:c r="P74" s="281"/>
      <x:c r="Q74" s="281"/>
      <x:c r="R74" s="281"/>
      <x:c r="S74" s="281"/>
      <x:c r="T74" s="281"/>
      <x:c r="U74" s="281"/>
      <x:c r="V74" s="281"/>
      <x:c r="W74" s="281"/>
      <x:c r="X74" s="281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281"/>
      <x:c r="B75" s="281"/>
      <x:c r="C75" s="281"/>
      <x:c r="D75" s="281"/>
      <x:c r="E75" s="281"/>
      <x:c r="F75" s="281"/>
      <x:c r="G75" s="281"/>
      <x:c r="H75" s="281"/>
      <x:c r="I75" s="281"/>
      <x:c r="J75" s="281"/>
      <x:c r="K75" s="281"/>
      <x:c r="L75" s="281"/>
      <x:c r="M75" s="281"/>
      <x:c r="N75" s="281"/>
      <x:c r="O75" s="281"/>
      <x:c r="P75" s="281"/>
      <x:c r="Q75" s="281"/>
      <x:c r="R75" s="281"/>
      <x:c r="S75" s="281"/>
      <x:c r="T75" s="281"/>
      <x:c r="U75" s="281"/>
      <x:c r="V75" s="281"/>
      <x:c r="W75" s="281"/>
      <x:c r="X75" s="281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281"/>
      <x:c r="B76" s="281"/>
      <x:c r="C76" s="281"/>
      <x:c r="D76" s="281"/>
      <x:c r="E76" s="281"/>
      <x:c r="F76" s="281"/>
      <x:c r="G76" s="281"/>
      <x:c r="H76" s="281"/>
      <x:c r="I76" s="281"/>
      <x:c r="J76" s="281"/>
      <x:c r="K76" s="281"/>
      <x:c r="L76" s="281"/>
      <x:c r="M76" s="281"/>
      <x:c r="N76" s="281"/>
      <x:c r="O76" s="281"/>
      <x:c r="P76" s="281"/>
      <x:c r="Q76" s="281"/>
      <x:c r="R76" s="281"/>
      <x:c r="S76" s="281"/>
      <x:c r="T76" s="281"/>
      <x:c r="U76" s="281"/>
      <x:c r="V76" s="281"/>
      <x:c r="W76" s="281"/>
      <x:c r="X76" s="281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281"/>
      <x:c r="B77" s="281"/>
      <x:c r="C77" s="281"/>
      <x:c r="D77" s="281"/>
      <x:c r="E77" s="281"/>
      <x:c r="F77" s="281"/>
      <x:c r="G77" s="281"/>
      <x:c r="H77" s="281"/>
      <x:c r="I77" s="281"/>
      <x:c r="J77" s="281"/>
      <x:c r="K77" s="281"/>
      <x:c r="L77" s="281"/>
      <x:c r="M77" s="281"/>
      <x:c r="N77" s="281"/>
      <x:c r="O77" s="281"/>
      <x:c r="P77" s="281"/>
      <x:c r="Q77" s="281"/>
      <x:c r="R77" s="281"/>
      <x:c r="S77" s="281"/>
      <x:c r="T77" s="281"/>
      <x:c r="U77" s="281"/>
      <x:c r="V77" s="281"/>
      <x:c r="W77" s="281"/>
      <x:c r="X77" s="281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281"/>
      <x:c r="B78" s="281"/>
      <x:c r="C78" s="281"/>
      <x:c r="D78" s="281"/>
      <x:c r="E78" s="281"/>
      <x:c r="F78" s="281"/>
      <x:c r="G78" s="281"/>
      <x:c r="H78" s="281"/>
      <x:c r="I78" s="281"/>
      <x:c r="J78" s="281"/>
      <x:c r="K78" s="281"/>
      <x:c r="L78" s="281"/>
      <x:c r="M78" s="281"/>
      <x:c r="N78" s="281"/>
      <x:c r="O78" s="281"/>
      <x:c r="P78" s="281"/>
      <x:c r="Q78" s="281"/>
      <x:c r="R78" s="281"/>
      <x:c r="S78" s="281"/>
      <x:c r="T78" s="281"/>
      <x:c r="U78" s="281"/>
      <x:c r="V78" s="281"/>
      <x:c r="W78" s="281"/>
      <x:c r="X78" s="281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281"/>
      <x:c r="B79" s="281"/>
      <x:c r="C79" s="281"/>
      <x:c r="D79" s="281"/>
      <x:c r="E79" s="281"/>
      <x:c r="F79" s="281"/>
      <x:c r="G79" s="281"/>
      <x:c r="H79" s="281"/>
      <x:c r="I79" s="281"/>
      <x:c r="J79" s="281"/>
      <x:c r="K79" s="281"/>
      <x:c r="L79" s="281"/>
      <x:c r="M79" s="281"/>
      <x:c r="N79" s="281"/>
      <x:c r="O79" s="281"/>
      <x:c r="P79" s="281"/>
      <x:c r="Q79" s="281"/>
      <x:c r="R79" s="281"/>
      <x:c r="S79" s="281"/>
      <x:c r="T79" s="281"/>
      <x:c r="U79" s="281"/>
      <x:c r="V79" s="281"/>
      <x:c r="W79" s="281"/>
      <x:c r="X79" s="281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281"/>
      <x:c r="B80" s="281"/>
      <x:c r="C80" s="281"/>
      <x:c r="D80" s="281"/>
      <x:c r="E80" s="281"/>
      <x:c r="F80" s="281"/>
      <x:c r="G80" s="281"/>
      <x:c r="H80" s="281"/>
      <x:c r="I80" s="281"/>
      <x:c r="J80" s="281"/>
      <x:c r="K80" s="281"/>
      <x:c r="L80" s="281"/>
      <x:c r="M80" s="281"/>
      <x:c r="N80" s="281"/>
      <x:c r="O80" s="281"/>
      <x:c r="P80" s="281"/>
      <x:c r="Q80" s="281"/>
      <x:c r="R80" s="281"/>
      <x:c r="S80" s="281"/>
      <x:c r="T80" s="281"/>
      <x:c r="U80" s="281"/>
      <x:c r="V80" s="281"/>
      <x:c r="W80" s="281"/>
      <x:c r="X80" s="281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281"/>
      <x:c r="B81" s="281"/>
      <x:c r="C81" s="281"/>
      <x:c r="D81" s="281"/>
      <x:c r="E81" s="281"/>
      <x:c r="F81" s="281"/>
      <x:c r="G81" s="281"/>
      <x:c r="H81" s="281"/>
      <x:c r="I81" s="281"/>
      <x:c r="J81" s="281"/>
      <x:c r="K81" s="281"/>
      <x:c r="L81" s="281"/>
      <x:c r="M81" s="281"/>
      <x:c r="N81" s="281"/>
      <x:c r="O81" s="281"/>
      <x:c r="P81" s="281"/>
      <x:c r="Q81" s="281"/>
      <x:c r="R81" s="281"/>
      <x:c r="S81" s="281"/>
      <x:c r="T81" s="281"/>
      <x:c r="U81" s="281"/>
      <x:c r="V81" s="281"/>
      <x:c r="W81" s="281"/>
      <x:c r="X81" s="281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281"/>
      <x:c r="B82" s="281"/>
      <x:c r="C82" s="281"/>
      <x:c r="D82" s="281"/>
      <x:c r="E82" s="281"/>
      <x:c r="F82" s="281"/>
      <x:c r="G82" s="281"/>
      <x:c r="H82" s="281"/>
      <x:c r="I82" s="281"/>
      <x:c r="J82" s="281"/>
      <x:c r="K82" s="281"/>
      <x:c r="L82" s="281"/>
      <x:c r="M82" s="281"/>
      <x:c r="N82" s="281"/>
      <x:c r="O82" s="281"/>
      <x:c r="P82" s="281"/>
      <x:c r="Q82" s="281"/>
      <x:c r="R82" s="281"/>
      <x:c r="S82" s="281"/>
      <x:c r="T82" s="281"/>
      <x:c r="U82" s="281"/>
      <x:c r="V82" s="281"/>
      <x:c r="W82" s="281"/>
      <x:c r="X82" s="281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281"/>
      <x:c r="B83" s="281"/>
      <x:c r="C83" s="281"/>
      <x:c r="D83" s="281"/>
      <x:c r="E83" s="281"/>
      <x:c r="F83" s="281"/>
      <x:c r="G83" s="281"/>
      <x:c r="H83" s="281"/>
      <x:c r="I83" s="281"/>
      <x:c r="J83" s="281"/>
      <x:c r="K83" s="281"/>
      <x:c r="L83" s="281"/>
      <x:c r="M83" s="281"/>
      <x:c r="N83" s="281"/>
      <x:c r="O83" s="281"/>
      <x:c r="P83" s="281"/>
      <x:c r="Q83" s="281"/>
      <x:c r="R83" s="281"/>
      <x:c r="S83" s="281"/>
      <x:c r="T83" s="281"/>
      <x:c r="U83" s="281"/>
      <x:c r="V83" s="281"/>
      <x:c r="W83" s="281"/>
      <x:c r="X83" s="281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281"/>
      <x:c r="B84" s="281"/>
      <x:c r="C84" s="281"/>
      <x:c r="D84" s="281"/>
      <x:c r="E84" s="281"/>
      <x:c r="F84" s="281"/>
      <x:c r="G84" s="281"/>
      <x:c r="H84" s="281"/>
      <x:c r="I84" s="281"/>
      <x:c r="J84" s="281"/>
      <x:c r="K84" s="281"/>
      <x:c r="L84" s="281"/>
      <x:c r="M84" s="281"/>
      <x:c r="N84" s="281"/>
      <x:c r="O84" s="281"/>
      <x:c r="P84" s="281"/>
      <x:c r="Q84" s="281"/>
      <x:c r="R84" s="281"/>
      <x:c r="S84" s="281"/>
      <x:c r="T84" s="281"/>
      <x:c r="U84" s="281"/>
      <x:c r="V84" s="281"/>
      <x:c r="W84" s="281"/>
      <x:c r="X84" s="281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281"/>
      <x:c r="B85" s="281"/>
      <x:c r="C85" s="281"/>
      <x:c r="D85" s="281"/>
      <x:c r="E85" s="281"/>
      <x:c r="F85" s="281"/>
      <x:c r="G85" s="281"/>
      <x:c r="H85" s="281"/>
      <x:c r="I85" s="281"/>
      <x:c r="J85" s="281"/>
      <x:c r="K85" s="281"/>
      <x:c r="L85" s="281"/>
      <x:c r="M85" s="281"/>
      <x:c r="N85" s="281"/>
      <x:c r="O85" s="281"/>
      <x:c r="P85" s="281"/>
      <x:c r="Q85" s="281"/>
      <x:c r="R85" s="281"/>
      <x:c r="S85" s="281"/>
      <x:c r="T85" s="281"/>
      <x:c r="U85" s="281"/>
      <x:c r="V85" s="281"/>
      <x:c r="W85" s="281"/>
      <x:c r="X85" s="281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281"/>
      <x:c r="B86" s="281"/>
      <x:c r="C86" s="281"/>
      <x:c r="D86" s="281"/>
      <x:c r="E86" s="281"/>
      <x:c r="F86" s="281"/>
      <x:c r="G86" s="281"/>
      <x:c r="H86" s="281"/>
      <x:c r="I86" s="281"/>
      <x:c r="J86" s="281"/>
      <x:c r="K86" s="281"/>
      <x:c r="L86" s="281"/>
      <x:c r="M86" s="281"/>
      <x:c r="N86" s="281"/>
      <x:c r="O86" s="281"/>
      <x:c r="P86" s="281"/>
      <x:c r="Q86" s="281"/>
      <x:c r="R86" s="281"/>
      <x:c r="S86" s="281"/>
      <x:c r="T86" s="281"/>
      <x:c r="U86" s="281"/>
      <x:c r="V86" s="281"/>
      <x:c r="W86" s="281"/>
      <x:c r="X86" s="281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281"/>
      <x:c r="B87" s="281"/>
      <x:c r="C87" s="281"/>
      <x:c r="D87" s="281"/>
      <x:c r="E87" s="281"/>
      <x:c r="F87" s="281"/>
      <x:c r="G87" s="281"/>
      <x:c r="H87" s="281"/>
      <x:c r="I87" s="281"/>
      <x:c r="J87" s="281"/>
      <x:c r="K87" s="281"/>
      <x:c r="L87" s="281"/>
      <x:c r="M87" s="281"/>
      <x:c r="N87" s="281"/>
      <x:c r="O87" s="281"/>
      <x:c r="P87" s="281"/>
      <x:c r="Q87" s="281"/>
      <x:c r="R87" s="281"/>
      <x:c r="S87" s="281"/>
      <x:c r="T87" s="281"/>
      <x:c r="U87" s="281"/>
      <x:c r="V87" s="281"/>
      <x:c r="W87" s="281"/>
      <x:c r="X87" s="281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281"/>
      <x:c r="B88" s="281"/>
      <x:c r="C88" s="281"/>
      <x:c r="D88" s="281"/>
      <x:c r="E88" s="281"/>
      <x:c r="F88" s="281"/>
      <x:c r="G88" s="281"/>
      <x:c r="H88" s="281"/>
      <x:c r="I88" s="281"/>
      <x:c r="J88" s="281"/>
      <x:c r="K88" s="281"/>
      <x:c r="L88" s="281"/>
      <x:c r="M88" s="281"/>
      <x:c r="N88" s="281"/>
      <x:c r="O88" s="281"/>
      <x:c r="P88" s="281"/>
      <x:c r="Q88" s="281"/>
      <x:c r="R88" s="281"/>
      <x:c r="S88" s="281"/>
      <x:c r="T88" s="281"/>
      <x:c r="U88" s="281"/>
      <x:c r="V88" s="281"/>
      <x:c r="W88" s="281"/>
      <x:c r="X88" s="281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281"/>
      <x:c r="B89" s="281"/>
      <x:c r="C89" s="281"/>
      <x:c r="D89" s="281"/>
      <x:c r="E89" s="281"/>
      <x:c r="F89" s="281"/>
      <x:c r="G89" s="281"/>
      <x:c r="H89" s="281"/>
      <x:c r="I89" s="281"/>
      <x:c r="J89" s="281"/>
      <x:c r="K89" s="281"/>
      <x:c r="L89" s="281"/>
      <x:c r="M89" s="281"/>
      <x:c r="N89" s="281"/>
      <x:c r="O89" s="281"/>
      <x:c r="P89" s="281"/>
      <x:c r="Q89" s="281"/>
      <x:c r="R89" s="281"/>
      <x:c r="S89" s="281"/>
      <x:c r="T89" s="281"/>
      <x:c r="U89" s="281"/>
      <x:c r="V89" s="281"/>
      <x:c r="W89" s="281"/>
      <x:c r="X89" s="281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281"/>
      <x:c r="B90" s="281"/>
      <x:c r="C90" s="281"/>
      <x:c r="D90" s="281"/>
      <x:c r="E90" s="281"/>
      <x:c r="F90" s="281"/>
      <x:c r="G90" s="281"/>
      <x:c r="H90" s="281"/>
      <x:c r="I90" s="281"/>
      <x:c r="J90" s="281"/>
      <x:c r="K90" s="281"/>
      <x:c r="L90" s="281"/>
      <x:c r="M90" s="281"/>
      <x:c r="N90" s="281"/>
      <x:c r="O90" s="281"/>
      <x:c r="P90" s="281"/>
      <x:c r="Q90" s="281"/>
      <x:c r="R90" s="281"/>
      <x:c r="S90" s="281"/>
      <x:c r="T90" s="281"/>
      <x:c r="U90" s="281"/>
      <x:c r="V90" s="281"/>
      <x:c r="W90" s="281"/>
      <x:c r="X90" s="281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281"/>
      <x:c r="B91" s="281"/>
      <x:c r="C91" s="281"/>
      <x:c r="D91" s="281"/>
      <x:c r="E91" s="281"/>
      <x:c r="F91" s="281"/>
      <x:c r="G91" s="281"/>
      <x:c r="H91" s="281"/>
      <x:c r="I91" s="281"/>
      <x:c r="J91" s="281"/>
      <x:c r="K91" s="281"/>
      <x:c r="L91" s="281"/>
      <x:c r="M91" s="281"/>
      <x:c r="N91" s="281"/>
      <x:c r="O91" s="281"/>
      <x:c r="P91" s="281"/>
      <x:c r="Q91" s="281"/>
      <x:c r="R91" s="281"/>
      <x:c r="S91" s="281"/>
      <x:c r="T91" s="281"/>
      <x:c r="U91" s="281"/>
      <x:c r="V91" s="281"/>
      <x:c r="W91" s="281"/>
      <x:c r="X91" s="281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281"/>
      <x:c r="B92" s="281"/>
      <x:c r="C92" s="281"/>
      <x:c r="D92" s="281"/>
      <x:c r="E92" s="281"/>
      <x:c r="F92" s="281"/>
      <x:c r="G92" s="281"/>
      <x:c r="H92" s="281"/>
      <x:c r="I92" s="281"/>
      <x:c r="J92" s="281"/>
      <x:c r="K92" s="281"/>
      <x:c r="L92" s="281"/>
      <x:c r="M92" s="281"/>
      <x:c r="N92" s="281"/>
      <x:c r="O92" s="281"/>
      <x:c r="P92" s="281"/>
      <x:c r="Q92" s="281"/>
      <x:c r="R92" s="281"/>
      <x:c r="S92" s="281"/>
      <x:c r="T92" s="281"/>
      <x:c r="U92" s="281"/>
      <x:c r="V92" s="281"/>
      <x:c r="W92" s="281"/>
      <x:c r="X92" s="281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281"/>
      <x:c r="B93" s="281"/>
      <x:c r="C93" s="281"/>
      <x:c r="D93" s="281"/>
      <x:c r="E93" s="281"/>
      <x:c r="F93" s="281"/>
      <x:c r="G93" s="281"/>
      <x:c r="H93" s="281"/>
      <x:c r="I93" s="281"/>
      <x:c r="J93" s="281"/>
      <x:c r="K93" s="281"/>
      <x:c r="L93" s="281"/>
      <x:c r="M93" s="281"/>
      <x:c r="N93" s="281"/>
      <x:c r="O93" s="281"/>
      <x:c r="P93" s="281"/>
      <x:c r="Q93" s="281"/>
      <x:c r="R93" s="281"/>
      <x:c r="S93" s="281"/>
      <x:c r="T93" s="281"/>
      <x:c r="U93" s="281"/>
      <x:c r="V93" s="281"/>
      <x:c r="W93" s="281"/>
      <x:c r="X93" s="281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281"/>
      <x:c r="B94" s="281"/>
      <x:c r="C94" s="281"/>
      <x:c r="D94" s="281"/>
      <x:c r="E94" s="281"/>
      <x:c r="F94" s="281"/>
      <x:c r="G94" s="281"/>
      <x:c r="H94" s="281"/>
      <x:c r="I94" s="281"/>
      <x:c r="J94" s="281"/>
      <x:c r="K94" s="281"/>
      <x:c r="L94" s="281"/>
      <x:c r="M94" s="281"/>
      <x:c r="N94" s="281"/>
      <x:c r="O94" s="281"/>
      <x:c r="P94" s="281"/>
      <x:c r="Q94" s="281"/>
      <x:c r="R94" s="281"/>
      <x:c r="S94" s="281"/>
      <x:c r="T94" s="281"/>
      <x:c r="U94" s="281"/>
      <x:c r="V94" s="281"/>
      <x:c r="W94" s="281"/>
      <x:c r="X94" s="281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281"/>
      <x:c r="B95" s="281"/>
      <x:c r="C95" s="281"/>
      <x:c r="D95" s="281"/>
      <x:c r="E95" s="281"/>
      <x:c r="F95" s="281"/>
      <x:c r="G95" s="281"/>
      <x:c r="H95" s="281"/>
      <x:c r="I95" s="281"/>
      <x:c r="J95" s="281"/>
      <x:c r="K95" s="281"/>
      <x:c r="L95" s="281"/>
      <x:c r="M95" s="281"/>
      <x:c r="N95" s="281"/>
      <x:c r="O95" s="281"/>
      <x:c r="P95" s="281"/>
      <x:c r="Q95" s="281"/>
      <x:c r="R95" s="281"/>
      <x:c r="S95" s="281"/>
      <x:c r="T95" s="281"/>
      <x:c r="U95" s="281"/>
      <x:c r="V95" s="281"/>
      <x:c r="W95" s="281"/>
      <x:c r="X95" s="281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281"/>
      <x:c r="B96" s="281"/>
      <x:c r="C96" s="281"/>
      <x:c r="D96" s="281"/>
      <x:c r="E96" s="281"/>
      <x:c r="F96" s="281"/>
      <x:c r="G96" s="281"/>
      <x:c r="H96" s="281"/>
      <x:c r="I96" s="281"/>
      <x:c r="J96" s="281"/>
      <x:c r="K96" s="281"/>
      <x:c r="L96" s="281"/>
      <x:c r="M96" s="281"/>
      <x:c r="N96" s="281"/>
      <x:c r="O96" s="281"/>
      <x:c r="P96" s="281"/>
      <x:c r="Q96" s="281"/>
      <x:c r="R96" s="281"/>
      <x:c r="S96" s="281"/>
      <x:c r="T96" s="281"/>
      <x:c r="U96" s="281"/>
      <x:c r="V96" s="281"/>
      <x:c r="W96" s="281"/>
      <x:c r="X96" s="281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281"/>
      <x:c r="B97" s="281"/>
      <x:c r="C97" s="281"/>
      <x:c r="D97" s="281"/>
      <x:c r="E97" s="281"/>
      <x:c r="F97" s="281"/>
      <x:c r="G97" s="281"/>
      <x:c r="H97" s="281"/>
      <x:c r="I97" s="281"/>
      <x:c r="J97" s="281"/>
      <x:c r="K97" s="281"/>
      <x:c r="L97" s="281"/>
      <x:c r="M97" s="281"/>
      <x:c r="N97" s="281"/>
      <x:c r="O97" s="281"/>
      <x:c r="P97" s="281"/>
      <x:c r="Q97" s="281"/>
      <x:c r="R97" s="281"/>
      <x:c r="S97" s="281"/>
      <x:c r="T97" s="281"/>
      <x:c r="U97" s="281"/>
      <x:c r="V97" s="281"/>
      <x:c r="W97" s="281"/>
      <x:c r="X97" s="281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281"/>
      <x:c r="B98" s="281"/>
      <x:c r="C98" s="281"/>
      <x:c r="D98" s="281"/>
      <x:c r="E98" s="281"/>
      <x:c r="F98" s="281"/>
      <x:c r="G98" s="281"/>
      <x:c r="H98" s="281"/>
      <x:c r="I98" s="281"/>
      <x:c r="J98" s="281"/>
      <x:c r="K98" s="281"/>
      <x:c r="L98" s="281"/>
      <x:c r="M98" s="281"/>
      <x:c r="N98" s="281"/>
      <x:c r="O98" s="281"/>
      <x:c r="P98" s="281"/>
      <x:c r="Q98" s="281"/>
      <x:c r="R98" s="281"/>
      <x:c r="S98" s="281"/>
      <x:c r="T98" s="281"/>
      <x:c r="U98" s="281"/>
      <x:c r="V98" s="281"/>
      <x:c r="W98" s="281"/>
      <x:c r="X98" s="281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281"/>
      <x:c r="B99" s="281"/>
      <x:c r="C99" s="281"/>
      <x:c r="D99" s="281"/>
      <x:c r="E99" s="281"/>
      <x:c r="F99" s="281"/>
      <x:c r="G99" s="281"/>
      <x:c r="H99" s="281"/>
      <x:c r="I99" s="281"/>
      <x:c r="J99" s="281"/>
      <x:c r="K99" s="281"/>
      <x:c r="L99" s="281"/>
      <x:c r="M99" s="281"/>
      <x:c r="N99" s="281"/>
      <x:c r="O99" s="281"/>
      <x:c r="P99" s="281"/>
      <x:c r="Q99" s="281"/>
      <x:c r="R99" s="281"/>
      <x:c r="S99" s="281"/>
      <x:c r="T99" s="281"/>
      <x:c r="U99" s="281"/>
      <x:c r="V99" s="281"/>
      <x:c r="W99" s="281"/>
      <x:c r="X99" s="281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281"/>
      <x:c r="B100" s="281"/>
      <x:c r="C100" s="281"/>
      <x:c r="D100" s="281"/>
      <x:c r="E100" s="281"/>
      <x:c r="F100" s="281"/>
      <x:c r="G100" s="281"/>
      <x:c r="H100" s="281"/>
      <x:c r="I100" s="281"/>
      <x:c r="J100" s="281"/>
      <x:c r="K100" s="281"/>
      <x:c r="L100" s="281"/>
      <x:c r="M100" s="281"/>
      <x:c r="N100" s="281"/>
      <x:c r="O100" s="281"/>
      <x:c r="P100" s="281"/>
      <x:c r="Q100" s="281"/>
      <x:c r="R100" s="281"/>
      <x:c r="S100" s="281"/>
      <x:c r="T100" s="281"/>
      <x:c r="U100" s="281"/>
      <x:c r="V100" s="281"/>
      <x:c r="W100" s="281"/>
      <x:c r="X100" s="281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281"/>
      <x:c r="B101" s="281"/>
      <x:c r="C101" s="281"/>
      <x:c r="D101" s="281"/>
      <x:c r="E101" s="281"/>
      <x:c r="F101" s="281"/>
      <x:c r="G101" s="281"/>
      <x:c r="H101" s="281"/>
      <x:c r="I101" s="281"/>
      <x:c r="J101" s="281"/>
      <x:c r="K101" s="281"/>
      <x:c r="L101" s="281"/>
      <x:c r="M101" s="281"/>
      <x:c r="N101" s="281"/>
      <x:c r="O101" s="281"/>
      <x:c r="P101" s="281"/>
      <x:c r="Q101" s="281"/>
      <x:c r="R101" s="281"/>
      <x:c r="S101" s="281"/>
      <x:c r="T101" s="281"/>
      <x:c r="U101" s="281"/>
      <x:c r="V101" s="281"/>
      <x:c r="W101" s="281"/>
      <x:c r="X101" s="281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281"/>
      <x:c r="B102" s="281"/>
      <x:c r="C102" s="281"/>
      <x:c r="D102" s="281"/>
      <x:c r="E102" s="281"/>
      <x:c r="F102" s="281"/>
      <x:c r="G102" s="281"/>
      <x:c r="H102" s="281"/>
      <x:c r="I102" s="281"/>
      <x:c r="J102" s="281"/>
      <x:c r="K102" s="281"/>
      <x:c r="L102" s="281"/>
      <x:c r="M102" s="281"/>
      <x:c r="N102" s="281"/>
      <x:c r="O102" s="281"/>
      <x:c r="P102" s="281"/>
      <x:c r="Q102" s="281"/>
      <x:c r="R102" s="281"/>
      <x:c r="S102" s="281"/>
      <x:c r="T102" s="281"/>
      <x:c r="U102" s="281"/>
      <x:c r="V102" s="281"/>
      <x:c r="W102" s="281"/>
      <x:c r="X102" s="281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281"/>
      <x:c r="B103" s="281"/>
      <x:c r="C103" s="281"/>
      <x:c r="D103" s="281"/>
      <x:c r="E103" s="281"/>
      <x:c r="F103" s="281"/>
      <x:c r="G103" s="281"/>
      <x:c r="H103" s="281"/>
      <x:c r="I103" s="281"/>
      <x:c r="J103" s="281"/>
      <x:c r="K103" s="281"/>
      <x:c r="L103" s="281"/>
      <x:c r="M103" s="281"/>
      <x:c r="N103" s="281"/>
      <x:c r="O103" s="281"/>
      <x:c r="P103" s="281"/>
      <x:c r="Q103" s="281"/>
      <x:c r="R103" s="281"/>
      <x:c r="S103" s="281"/>
      <x:c r="T103" s="281"/>
      <x:c r="U103" s="281"/>
      <x:c r="V103" s="281"/>
      <x:c r="W103" s="281"/>
      <x:c r="X103" s="281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281"/>
      <x:c r="B104" s="281"/>
      <x:c r="C104" s="281"/>
      <x:c r="D104" s="281"/>
      <x:c r="E104" s="281"/>
      <x:c r="F104" s="281"/>
      <x:c r="G104" s="281"/>
      <x:c r="H104" s="281"/>
      <x:c r="I104" s="281"/>
      <x:c r="J104" s="281"/>
      <x:c r="K104" s="281"/>
      <x:c r="L104" s="281"/>
      <x:c r="M104" s="281"/>
      <x:c r="N104" s="281"/>
      <x:c r="O104" s="281"/>
      <x:c r="P104" s="281"/>
      <x:c r="Q104" s="281"/>
      <x:c r="R104" s="281"/>
      <x:c r="S104" s="281"/>
      <x:c r="T104" s="281"/>
      <x:c r="U104" s="281"/>
      <x:c r="V104" s="281"/>
      <x:c r="W104" s="281"/>
      <x:c r="X104" s="281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281"/>
      <x:c r="B105" s="281"/>
      <x:c r="C105" s="281"/>
      <x:c r="D105" s="281"/>
      <x:c r="E105" s="281"/>
      <x:c r="F105" s="281"/>
      <x:c r="G105" s="281"/>
      <x:c r="H105" s="281"/>
      <x:c r="I105" s="281"/>
      <x:c r="J105" s="281"/>
      <x:c r="K105" s="281"/>
      <x:c r="L105" s="281"/>
      <x:c r="M105" s="281"/>
      <x:c r="N105" s="281"/>
      <x:c r="O105" s="281"/>
      <x:c r="P105" s="281"/>
      <x:c r="Q105" s="281"/>
      <x:c r="R105" s="281"/>
      <x:c r="S105" s="281"/>
      <x:c r="T105" s="281"/>
      <x:c r="U105" s="281"/>
      <x:c r="V105" s="281"/>
      <x:c r="W105" s="281"/>
      <x:c r="X105" s="281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281"/>
      <x:c r="B106" s="281"/>
      <x:c r="C106" s="281"/>
      <x:c r="D106" s="281"/>
      <x:c r="E106" s="281"/>
      <x:c r="F106" s="281"/>
      <x:c r="G106" s="281"/>
      <x:c r="H106" s="281"/>
      <x:c r="I106" s="281"/>
      <x:c r="J106" s="281"/>
      <x:c r="K106" s="281"/>
      <x:c r="L106" s="281"/>
      <x:c r="M106" s="281"/>
      <x:c r="N106" s="281"/>
      <x:c r="O106" s="281"/>
      <x:c r="P106" s="281"/>
      <x:c r="Q106" s="281"/>
      <x:c r="R106" s="281"/>
      <x:c r="S106" s="281"/>
      <x:c r="T106" s="281"/>
      <x:c r="U106" s="281"/>
      <x:c r="V106" s="281"/>
      <x:c r="W106" s="281"/>
      <x:c r="X106" s="281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281"/>
      <x:c r="B107" s="281"/>
      <x:c r="C107" s="281"/>
      <x:c r="D107" s="281"/>
      <x:c r="E107" s="281"/>
      <x:c r="F107" s="281"/>
      <x:c r="G107" s="281"/>
      <x:c r="H107" s="281"/>
      <x:c r="I107" s="281"/>
      <x:c r="J107" s="281"/>
      <x:c r="K107" s="281"/>
      <x:c r="L107" s="281"/>
      <x:c r="M107" s="281"/>
      <x:c r="N107" s="281"/>
      <x:c r="O107" s="281"/>
      <x:c r="P107" s="281"/>
      <x:c r="Q107" s="281"/>
      <x:c r="R107" s="281"/>
      <x:c r="S107" s="281"/>
      <x:c r="T107" s="281"/>
      <x:c r="U107" s="281"/>
      <x:c r="V107" s="281"/>
      <x:c r="W107" s="281"/>
      <x:c r="X107" s="281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281"/>
      <x:c r="B108" s="281"/>
      <x:c r="C108" s="281"/>
      <x:c r="D108" s="281"/>
      <x:c r="E108" s="281"/>
      <x:c r="F108" s="281"/>
      <x:c r="G108" s="281"/>
      <x:c r="H108" s="281"/>
      <x:c r="I108" s="281"/>
      <x:c r="J108" s="281"/>
      <x:c r="K108" s="281"/>
      <x:c r="L108" s="281"/>
      <x:c r="M108" s="281"/>
      <x:c r="N108" s="281"/>
      <x:c r="O108" s="281"/>
      <x:c r="P108" s="281"/>
      <x:c r="Q108" s="281"/>
      <x:c r="R108" s="281"/>
      <x:c r="S108" s="281"/>
      <x:c r="T108" s="281"/>
      <x:c r="U108" s="281"/>
      <x:c r="V108" s="281"/>
      <x:c r="W108" s="281"/>
      <x:c r="X108" s="281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281"/>
      <x:c r="B109" s="281"/>
      <x:c r="C109" s="281"/>
      <x:c r="D109" s="281"/>
      <x:c r="E109" s="281"/>
      <x:c r="F109" s="281"/>
      <x:c r="G109" s="281"/>
      <x:c r="H109" s="281"/>
      <x:c r="I109" s="281"/>
      <x:c r="J109" s="281"/>
      <x:c r="K109" s="281"/>
      <x:c r="L109" s="281"/>
      <x:c r="M109" s="281"/>
      <x:c r="N109" s="281"/>
      <x:c r="O109" s="281"/>
      <x:c r="P109" s="281"/>
      <x:c r="Q109" s="281"/>
      <x:c r="R109" s="281"/>
      <x:c r="S109" s="281"/>
      <x:c r="T109" s="281"/>
      <x:c r="U109" s="281"/>
      <x:c r="V109" s="281"/>
      <x:c r="W109" s="281"/>
      <x:c r="X109" s="281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281"/>
      <x:c r="B110" s="281"/>
      <x:c r="C110" s="281"/>
      <x:c r="D110" s="281"/>
      <x:c r="E110" s="281"/>
      <x:c r="F110" s="281"/>
      <x:c r="G110" s="281"/>
      <x:c r="H110" s="281"/>
      <x:c r="I110" s="281"/>
      <x:c r="J110" s="281"/>
      <x:c r="K110" s="281"/>
      <x:c r="L110" s="281"/>
      <x:c r="M110" s="281"/>
      <x:c r="N110" s="281"/>
      <x:c r="O110" s="281"/>
      <x:c r="P110" s="281"/>
      <x:c r="Q110" s="281"/>
      <x:c r="R110" s="281"/>
      <x:c r="S110" s="281"/>
      <x:c r="T110" s="281"/>
      <x:c r="U110" s="281"/>
      <x:c r="V110" s="281"/>
      <x:c r="W110" s="281"/>
      <x:c r="X110" s="281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281"/>
      <x:c r="B111" s="281"/>
      <x:c r="C111" s="281"/>
      <x:c r="D111" s="281"/>
      <x:c r="E111" s="281"/>
      <x:c r="F111" s="281"/>
      <x:c r="G111" s="281"/>
      <x:c r="H111" s="281"/>
      <x:c r="I111" s="281"/>
      <x:c r="J111" s="281"/>
      <x:c r="K111" s="281"/>
      <x:c r="L111" s="281"/>
      <x:c r="M111" s="281"/>
      <x:c r="N111" s="281"/>
      <x:c r="O111" s="281"/>
      <x:c r="P111" s="281"/>
      <x:c r="Q111" s="281"/>
      <x:c r="R111" s="281"/>
      <x:c r="S111" s="281"/>
      <x:c r="T111" s="281"/>
      <x:c r="U111" s="281"/>
      <x:c r="V111" s="281"/>
      <x:c r="W111" s="281"/>
      <x:c r="X111" s="281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281"/>
      <x:c r="B112" s="281"/>
      <x:c r="C112" s="281"/>
      <x:c r="D112" s="281"/>
      <x:c r="E112" s="281"/>
      <x:c r="F112" s="281"/>
      <x:c r="G112" s="281"/>
      <x:c r="H112" s="281"/>
      <x:c r="I112" s="281"/>
      <x:c r="J112" s="281"/>
      <x:c r="K112" s="281"/>
      <x:c r="L112" s="281"/>
      <x:c r="M112" s="281"/>
      <x:c r="N112" s="281"/>
      <x:c r="O112" s="281"/>
      <x:c r="P112" s="281"/>
      <x:c r="Q112" s="281"/>
      <x:c r="R112" s="281"/>
      <x:c r="S112" s="281"/>
      <x:c r="T112" s="281"/>
      <x:c r="U112" s="281"/>
      <x:c r="V112" s="281"/>
      <x:c r="W112" s="281"/>
      <x:c r="X112" s="281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281"/>
      <x:c r="B113" s="281"/>
      <x:c r="C113" s="281"/>
      <x:c r="D113" s="281"/>
      <x:c r="E113" s="281"/>
      <x:c r="F113" s="281"/>
      <x:c r="G113" s="281"/>
      <x:c r="H113" s="281"/>
      <x:c r="I113" s="281"/>
      <x:c r="J113" s="281"/>
      <x:c r="K113" s="281"/>
      <x:c r="L113" s="281"/>
      <x:c r="M113" s="281"/>
      <x:c r="N113" s="281"/>
      <x:c r="O113" s="281"/>
      <x:c r="P113" s="281"/>
      <x:c r="Q113" s="281"/>
      <x:c r="R113" s="281"/>
      <x:c r="S113" s="281"/>
      <x:c r="T113" s="281"/>
      <x:c r="U113" s="281"/>
      <x:c r="V113" s="281"/>
      <x:c r="W113" s="281"/>
      <x:c r="X113" s="281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281"/>
      <x:c r="B114" s="281"/>
      <x:c r="C114" s="281"/>
      <x:c r="D114" s="281"/>
      <x:c r="E114" s="281"/>
      <x:c r="F114" s="281"/>
      <x:c r="G114" s="281"/>
      <x:c r="H114" s="281"/>
      <x:c r="I114" s="281"/>
      <x:c r="J114" s="281"/>
      <x:c r="K114" s="281"/>
      <x:c r="L114" s="281"/>
      <x:c r="M114" s="281"/>
      <x:c r="N114" s="281"/>
      <x:c r="O114" s="281"/>
      <x:c r="P114" s="281"/>
      <x:c r="Q114" s="281"/>
      <x:c r="R114" s="281"/>
      <x:c r="S114" s="281"/>
      <x:c r="T114" s="281"/>
      <x:c r="U114" s="281"/>
      <x:c r="V114" s="281"/>
      <x:c r="W114" s="281"/>
      <x:c r="X114" s="281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281"/>
      <x:c r="B115" s="281"/>
      <x:c r="C115" s="281"/>
      <x:c r="D115" s="281"/>
      <x:c r="E115" s="281"/>
      <x:c r="F115" s="281"/>
      <x:c r="G115" s="281"/>
      <x:c r="H115" s="281"/>
      <x:c r="I115" s="281"/>
      <x:c r="J115" s="281"/>
      <x:c r="K115" s="281"/>
      <x:c r="L115" s="281"/>
      <x:c r="M115" s="281"/>
      <x:c r="N115" s="281"/>
      <x:c r="O115" s="281"/>
      <x:c r="P115" s="281"/>
      <x:c r="Q115" s="281"/>
      <x:c r="R115" s="281"/>
      <x:c r="S115" s="281"/>
      <x:c r="T115" s="281"/>
      <x:c r="U115" s="281"/>
      <x:c r="V115" s="281"/>
      <x:c r="W115" s="281"/>
      <x:c r="X115" s="281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281"/>
      <x:c r="B116" s="281"/>
      <x:c r="C116" s="281"/>
      <x:c r="D116" s="281"/>
      <x:c r="E116" s="281"/>
      <x:c r="F116" s="281"/>
      <x:c r="G116" s="281"/>
      <x:c r="H116" s="281"/>
      <x:c r="I116" s="281"/>
      <x:c r="J116" s="281"/>
      <x:c r="K116" s="281"/>
      <x:c r="L116" s="281"/>
      <x:c r="M116" s="281"/>
      <x:c r="N116" s="281"/>
      <x:c r="O116" s="281"/>
      <x:c r="P116" s="281"/>
      <x:c r="Q116" s="281"/>
      <x:c r="R116" s="281"/>
      <x:c r="S116" s="281"/>
      <x:c r="T116" s="281"/>
      <x:c r="U116" s="281"/>
      <x:c r="V116" s="281"/>
      <x:c r="W116" s="281"/>
      <x:c r="X116" s="281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281"/>
      <x:c r="B117" s="281"/>
      <x:c r="C117" s="281"/>
      <x:c r="D117" s="281"/>
      <x:c r="E117" s="281"/>
      <x:c r="F117" s="281"/>
      <x:c r="G117" s="281"/>
      <x:c r="H117" s="281"/>
      <x:c r="I117" s="281"/>
      <x:c r="J117" s="281"/>
      <x:c r="K117" s="281"/>
      <x:c r="L117" s="281"/>
      <x:c r="M117" s="281"/>
      <x:c r="N117" s="281"/>
      <x:c r="O117" s="281"/>
      <x:c r="P117" s="281"/>
      <x:c r="Q117" s="281"/>
      <x:c r="R117" s="281"/>
      <x:c r="S117" s="281"/>
      <x:c r="T117" s="281"/>
      <x:c r="U117" s="281"/>
      <x:c r="V117" s="281"/>
      <x:c r="W117" s="281"/>
      <x:c r="X117" s="281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281"/>
      <x:c r="B118" s="281"/>
      <x:c r="C118" s="281"/>
      <x:c r="D118" s="281"/>
      <x:c r="E118" s="281"/>
      <x:c r="F118" s="281"/>
      <x:c r="G118" s="281"/>
      <x:c r="H118" s="281"/>
      <x:c r="I118" s="281"/>
      <x:c r="J118" s="281"/>
      <x:c r="K118" s="281"/>
      <x:c r="L118" s="281"/>
      <x:c r="M118" s="281"/>
      <x:c r="N118" s="281"/>
      <x:c r="O118" s="281"/>
      <x:c r="P118" s="281"/>
      <x:c r="Q118" s="281"/>
      <x:c r="R118" s="281"/>
      <x:c r="S118" s="281"/>
      <x:c r="T118" s="281"/>
      <x:c r="U118" s="281"/>
      <x:c r="V118" s="281"/>
      <x:c r="W118" s="281"/>
      <x:c r="X118" s="281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281"/>
      <x:c r="B119" s="281"/>
      <x:c r="C119" s="281"/>
      <x:c r="D119" s="281"/>
      <x:c r="E119" s="281"/>
      <x:c r="F119" s="281"/>
      <x:c r="G119" s="281"/>
      <x:c r="H119" s="281"/>
      <x:c r="I119" s="281"/>
      <x:c r="J119" s="281"/>
      <x:c r="K119" s="281"/>
      <x:c r="L119" s="281"/>
      <x:c r="M119" s="281"/>
      <x:c r="N119" s="281"/>
      <x:c r="O119" s="281"/>
      <x:c r="P119" s="281"/>
      <x:c r="Q119" s="281"/>
      <x:c r="R119" s="281"/>
      <x:c r="S119" s="281"/>
      <x:c r="T119" s="281"/>
      <x:c r="U119" s="281"/>
      <x:c r="V119" s="281"/>
      <x:c r="W119" s="281"/>
      <x:c r="X119" s="281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281"/>
      <x:c r="B120" s="281"/>
      <x:c r="C120" s="281"/>
      <x:c r="D120" s="281"/>
      <x:c r="E120" s="281"/>
      <x:c r="F120" s="281"/>
      <x:c r="G120" s="281"/>
      <x:c r="H120" s="281"/>
      <x:c r="I120" s="281"/>
      <x:c r="J120" s="281"/>
      <x:c r="K120" s="281"/>
      <x:c r="L120" s="281"/>
      <x:c r="M120" s="281"/>
      <x:c r="N120" s="281"/>
      <x:c r="O120" s="281"/>
      <x:c r="P120" s="281"/>
      <x:c r="Q120" s="281"/>
      <x:c r="R120" s="281"/>
      <x:c r="S120" s="281"/>
      <x:c r="T120" s="281"/>
      <x:c r="U120" s="281"/>
      <x:c r="V120" s="281"/>
      <x:c r="W120" s="281"/>
      <x:c r="X120" s="281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281"/>
      <x:c r="B121" s="281"/>
      <x:c r="C121" s="281"/>
      <x:c r="D121" s="281"/>
      <x:c r="E121" s="281"/>
      <x:c r="F121" s="281"/>
      <x:c r="G121" s="281"/>
      <x:c r="H121" s="281"/>
      <x:c r="I121" s="281"/>
      <x:c r="J121" s="281"/>
      <x:c r="K121" s="281"/>
      <x:c r="L121" s="281"/>
      <x:c r="M121" s="281"/>
      <x:c r="N121" s="281"/>
      <x:c r="O121" s="281"/>
      <x:c r="P121" s="281"/>
      <x:c r="Q121" s="281"/>
      <x:c r="R121" s="281"/>
      <x:c r="S121" s="281"/>
      <x:c r="T121" s="281"/>
      <x:c r="U121" s="281"/>
      <x:c r="V121" s="281"/>
      <x:c r="W121" s="281"/>
      <x:c r="X121" s="281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281"/>
      <x:c r="B122" s="281"/>
      <x:c r="C122" s="281"/>
      <x:c r="D122" s="281"/>
      <x:c r="E122" s="281"/>
      <x:c r="F122" s="281"/>
      <x:c r="G122" s="281"/>
      <x:c r="H122" s="281"/>
      <x:c r="I122" s="281"/>
      <x:c r="J122" s="281"/>
      <x:c r="K122" s="281"/>
      <x:c r="L122" s="281"/>
      <x:c r="M122" s="281"/>
      <x:c r="N122" s="281"/>
      <x:c r="O122" s="281"/>
      <x:c r="P122" s="281"/>
      <x:c r="Q122" s="281"/>
      <x:c r="R122" s="281"/>
      <x:c r="S122" s="281"/>
      <x:c r="T122" s="281"/>
      <x:c r="U122" s="281"/>
      <x:c r="V122" s="281"/>
      <x:c r="W122" s="281"/>
      <x:c r="X122" s="281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281"/>
      <x:c r="B123" s="281"/>
      <x:c r="C123" s="281"/>
      <x:c r="D123" s="281"/>
      <x:c r="E123" s="281"/>
      <x:c r="F123" s="281"/>
      <x:c r="G123" s="281"/>
      <x:c r="H123" s="281"/>
      <x:c r="I123" s="281"/>
      <x:c r="J123" s="281"/>
      <x:c r="K123" s="281"/>
      <x:c r="L123" s="281"/>
      <x:c r="M123" s="281"/>
      <x:c r="N123" s="281"/>
      <x:c r="O123" s="281"/>
      <x:c r="P123" s="281"/>
      <x:c r="Q123" s="281"/>
      <x:c r="R123" s="281"/>
      <x:c r="S123" s="281"/>
      <x:c r="T123" s="281"/>
      <x:c r="U123" s="281"/>
      <x:c r="V123" s="281"/>
      <x:c r="W123" s="281"/>
      <x:c r="X123" s="281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281"/>
      <x:c r="B124" s="281"/>
      <x:c r="C124" s="281"/>
      <x:c r="D124" s="281"/>
      <x:c r="E124" s="281"/>
      <x:c r="F124" s="281"/>
      <x:c r="G124" s="281"/>
      <x:c r="H124" s="281"/>
      <x:c r="I124" s="281"/>
      <x:c r="J124" s="281"/>
      <x:c r="K124" s="281"/>
      <x:c r="L124" s="281"/>
      <x:c r="M124" s="281"/>
      <x:c r="N124" s="281"/>
      <x:c r="O124" s="281"/>
      <x:c r="P124" s="281"/>
      <x:c r="Q124" s="281"/>
      <x:c r="R124" s="281"/>
      <x:c r="S124" s="281"/>
      <x:c r="T124" s="281"/>
      <x:c r="U124" s="281"/>
      <x:c r="V124" s="281"/>
      <x:c r="W124" s="281"/>
      <x:c r="X124" s="281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281"/>
      <x:c r="B125" s="281"/>
      <x:c r="C125" s="281"/>
      <x:c r="D125" s="281"/>
      <x:c r="E125" s="281"/>
      <x:c r="F125" s="281"/>
      <x:c r="G125" s="281"/>
      <x:c r="H125" s="281"/>
      <x:c r="I125" s="281"/>
      <x:c r="J125" s="281"/>
      <x:c r="K125" s="281"/>
      <x:c r="L125" s="281"/>
      <x:c r="M125" s="281"/>
      <x:c r="N125" s="281"/>
      <x:c r="O125" s="281"/>
      <x:c r="P125" s="281"/>
      <x:c r="Q125" s="281"/>
      <x:c r="R125" s="281"/>
      <x:c r="S125" s="281"/>
      <x:c r="T125" s="281"/>
      <x:c r="U125" s="281"/>
      <x:c r="V125" s="281"/>
      <x:c r="W125" s="281"/>
      <x:c r="X125" s="281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281"/>
      <x:c r="B126" s="281"/>
      <x:c r="C126" s="281"/>
      <x:c r="D126" s="281"/>
      <x:c r="E126" s="281"/>
      <x:c r="F126" s="281"/>
      <x:c r="G126" s="281"/>
      <x:c r="H126" s="281"/>
      <x:c r="I126" s="281"/>
      <x:c r="J126" s="281"/>
      <x:c r="K126" s="281"/>
      <x:c r="L126" s="281"/>
      <x:c r="M126" s="281"/>
      <x:c r="N126" s="281"/>
      <x:c r="O126" s="281"/>
      <x:c r="P126" s="281"/>
      <x:c r="Q126" s="281"/>
      <x:c r="R126" s="281"/>
      <x:c r="S126" s="281"/>
      <x:c r="T126" s="281"/>
      <x:c r="U126" s="281"/>
      <x:c r="V126" s="281"/>
      <x:c r="W126" s="281"/>
      <x:c r="X126" s="281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281"/>
      <x:c r="B127" s="281"/>
      <x:c r="C127" s="281"/>
      <x:c r="D127" s="281"/>
      <x:c r="E127" s="281"/>
      <x:c r="F127" s="281"/>
      <x:c r="G127" s="281"/>
      <x:c r="H127" s="281"/>
      <x:c r="I127" s="281"/>
      <x:c r="J127" s="281"/>
      <x:c r="K127" s="281"/>
      <x:c r="L127" s="281"/>
      <x:c r="M127" s="281"/>
      <x:c r="N127" s="281"/>
      <x:c r="O127" s="281"/>
      <x:c r="P127" s="281"/>
      <x:c r="Q127" s="281"/>
      <x:c r="R127" s="281"/>
      <x:c r="S127" s="281"/>
      <x:c r="T127" s="281"/>
      <x:c r="U127" s="281"/>
      <x:c r="V127" s="281"/>
      <x:c r="W127" s="281"/>
      <x:c r="X127" s="281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281"/>
      <x:c r="B128" s="281"/>
      <x:c r="C128" s="281"/>
      <x:c r="D128" s="281"/>
      <x:c r="E128" s="281"/>
      <x:c r="F128" s="281"/>
      <x:c r="G128" s="281"/>
      <x:c r="H128" s="281"/>
      <x:c r="I128" s="281"/>
      <x:c r="J128" s="281"/>
      <x:c r="K128" s="281"/>
      <x:c r="L128" s="281"/>
      <x:c r="M128" s="281"/>
      <x:c r="N128" s="281"/>
      <x:c r="O128" s="281"/>
      <x:c r="P128" s="281"/>
      <x:c r="Q128" s="281"/>
      <x:c r="R128" s="281"/>
      <x:c r="S128" s="281"/>
      <x:c r="T128" s="281"/>
      <x:c r="U128" s="281"/>
      <x:c r="V128" s="281"/>
      <x:c r="W128" s="281"/>
      <x:c r="X128" s="281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281"/>
      <x:c r="B129" s="281"/>
      <x:c r="C129" s="281"/>
      <x:c r="D129" s="281"/>
      <x:c r="E129" s="281"/>
      <x:c r="F129" s="281"/>
      <x:c r="G129" s="281"/>
      <x:c r="H129" s="281"/>
      <x:c r="I129" s="281"/>
      <x:c r="J129" s="281"/>
      <x:c r="K129" s="281"/>
      <x:c r="L129" s="281"/>
      <x:c r="M129" s="281"/>
      <x:c r="N129" s="281"/>
      <x:c r="O129" s="281"/>
      <x:c r="P129" s="281"/>
      <x:c r="Q129" s="281"/>
      <x:c r="R129" s="281"/>
      <x:c r="S129" s="281"/>
      <x:c r="T129" s="281"/>
      <x:c r="U129" s="281"/>
      <x:c r="V129" s="281"/>
      <x:c r="W129" s="281"/>
      <x:c r="X129" s="281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281"/>
      <x:c r="B130" s="281"/>
      <x:c r="C130" s="281"/>
      <x:c r="D130" s="281"/>
      <x:c r="E130" s="281"/>
      <x:c r="F130" s="281"/>
      <x:c r="G130" s="281"/>
      <x:c r="H130" s="281"/>
      <x:c r="I130" s="281"/>
      <x:c r="J130" s="281"/>
      <x:c r="K130" s="281"/>
      <x:c r="L130" s="281"/>
      <x:c r="M130" s="281"/>
      <x:c r="N130" s="281"/>
      <x:c r="O130" s="281"/>
      <x:c r="P130" s="281"/>
      <x:c r="Q130" s="281"/>
      <x:c r="R130" s="281"/>
      <x:c r="S130" s="281"/>
      <x:c r="T130" s="281"/>
      <x:c r="U130" s="281"/>
      <x:c r="V130" s="281"/>
      <x:c r="W130" s="281"/>
      <x:c r="X130" s="281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281"/>
      <x:c r="B131" s="281"/>
      <x:c r="C131" s="281"/>
      <x:c r="D131" s="281"/>
      <x:c r="E131" s="281"/>
      <x:c r="F131" s="281"/>
      <x:c r="G131" s="281"/>
      <x:c r="H131" s="281"/>
      <x:c r="I131" s="281"/>
      <x:c r="J131" s="281"/>
      <x:c r="K131" s="281"/>
      <x:c r="L131" s="281"/>
      <x:c r="M131" s="281"/>
      <x:c r="N131" s="281"/>
      <x:c r="O131" s="281"/>
      <x:c r="P131" s="281"/>
      <x:c r="Q131" s="281"/>
      <x:c r="R131" s="281"/>
      <x:c r="S131" s="281"/>
      <x:c r="T131" s="281"/>
      <x:c r="U131" s="281"/>
      <x:c r="V131" s="281"/>
      <x:c r="W131" s="281"/>
      <x:c r="X131" s="281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281"/>
      <x:c r="B132" s="281"/>
      <x:c r="C132" s="281"/>
      <x:c r="D132" s="281"/>
      <x:c r="E132" s="281"/>
      <x:c r="F132" s="281"/>
      <x:c r="G132" s="281"/>
      <x:c r="H132" s="281"/>
      <x:c r="I132" s="281"/>
      <x:c r="J132" s="281"/>
      <x:c r="K132" s="281"/>
      <x:c r="L132" s="281"/>
      <x:c r="M132" s="281"/>
      <x:c r="N132" s="281"/>
      <x:c r="O132" s="281"/>
      <x:c r="P132" s="281"/>
      <x:c r="Q132" s="281"/>
      <x:c r="R132" s="281"/>
      <x:c r="S132" s="281"/>
      <x:c r="T132" s="281"/>
      <x:c r="U132" s="281"/>
      <x:c r="V132" s="281"/>
      <x:c r="W132" s="281"/>
      <x:c r="X132" s="281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281"/>
      <x:c r="B133" s="281"/>
      <x:c r="C133" s="281"/>
      <x:c r="D133" s="281"/>
      <x:c r="E133" s="281"/>
      <x:c r="F133" s="281"/>
      <x:c r="G133" s="281"/>
      <x:c r="H133" s="281"/>
      <x:c r="I133" s="281"/>
      <x:c r="J133" s="281"/>
      <x:c r="K133" s="281"/>
      <x:c r="L133" s="281"/>
      <x:c r="M133" s="281"/>
      <x:c r="N133" s="281"/>
      <x:c r="O133" s="281"/>
      <x:c r="P133" s="281"/>
      <x:c r="Q133" s="281"/>
      <x:c r="R133" s="281"/>
      <x:c r="S133" s="281"/>
      <x:c r="T133" s="281"/>
      <x:c r="U133" s="281"/>
      <x:c r="V133" s="281"/>
      <x:c r="W133" s="281"/>
      <x:c r="X133" s="281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281"/>
      <x:c r="B134" s="281"/>
      <x:c r="C134" s="281"/>
      <x:c r="D134" s="281"/>
      <x:c r="E134" s="281"/>
      <x:c r="F134" s="281"/>
      <x:c r="G134" s="281"/>
      <x:c r="H134" s="281"/>
      <x:c r="I134" s="281"/>
      <x:c r="J134" s="281"/>
      <x:c r="K134" s="281"/>
      <x:c r="L134" s="281"/>
      <x:c r="M134" s="281"/>
      <x:c r="N134" s="281"/>
      <x:c r="O134" s="281"/>
      <x:c r="P134" s="281"/>
      <x:c r="Q134" s="281"/>
      <x:c r="R134" s="281"/>
      <x:c r="S134" s="281"/>
      <x:c r="T134" s="281"/>
      <x:c r="U134" s="281"/>
      <x:c r="V134" s="281"/>
      <x:c r="W134" s="281"/>
      <x:c r="X134" s="281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281"/>
      <x:c r="B135" s="281"/>
      <x:c r="C135" s="281"/>
      <x:c r="D135" s="281"/>
      <x:c r="E135" s="281"/>
      <x:c r="F135" s="281"/>
      <x:c r="G135" s="281"/>
      <x:c r="H135" s="281"/>
      <x:c r="I135" s="281"/>
      <x:c r="J135" s="281"/>
      <x:c r="K135" s="281"/>
      <x:c r="L135" s="281"/>
      <x:c r="M135" s="281"/>
      <x:c r="N135" s="281"/>
      <x:c r="O135" s="281"/>
      <x:c r="P135" s="281"/>
      <x:c r="Q135" s="281"/>
      <x:c r="R135" s="281"/>
      <x:c r="S135" s="281"/>
      <x:c r="T135" s="281"/>
      <x:c r="U135" s="281"/>
      <x:c r="V135" s="281"/>
      <x:c r="W135" s="281"/>
      <x:c r="X135" s="281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281"/>
      <x:c r="B136" s="281"/>
      <x:c r="C136" s="281"/>
      <x:c r="D136" s="281"/>
      <x:c r="E136" s="281"/>
      <x:c r="F136" s="281"/>
      <x:c r="G136" s="281"/>
      <x:c r="H136" s="281"/>
      <x:c r="I136" s="281"/>
      <x:c r="J136" s="281"/>
      <x:c r="K136" s="281"/>
      <x:c r="L136" s="281"/>
      <x:c r="M136" s="281"/>
      <x:c r="N136" s="281"/>
      <x:c r="O136" s="281"/>
      <x:c r="P136" s="281"/>
      <x:c r="Q136" s="281"/>
      <x:c r="R136" s="281"/>
      <x:c r="S136" s="281"/>
      <x:c r="T136" s="281"/>
      <x:c r="U136" s="281"/>
      <x:c r="V136" s="281"/>
      <x:c r="W136" s="281"/>
      <x:c r="X136" s="281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281"/>
      <x:c r="B137" s="281"/>
      <x:c r="C137" s="281"/>
      <x:c r="D137" s="281"/>
      <x:c r="E137" s="281"/>
      <x:c r="F137" s="281"/>
      <x:c r="G137" s="281"/>
      <x:c r="H137" s="281"/>
      <x:c r="I137" s="281"/>
      <x:c r="J137" s="281"/>
      <x:c r="K137" s="281"/>
      <x:c r="L137" s="281"/>
      <x:c r="M137" s="281"/>
      <x:c r="N137" s="281"/>
      <x:c r="O137" s="281"/>
      <x:c r="P137" s="281"/>
      <x:c r="Q137" s="281"/>
      <x:c r="R137" s="281"/>
      <x:c r="S137" s="281"/>
      <x:c r="T137" s="281"/>
      <x:c r="U137" s="281"/>
      <x:c r="V137" s="281"/>
      <x:c r="W137" s="281"/>
      <x:c r="X137" s="281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281"/>
      <x:c r="B138" s="281"/>
      <x:c r="C138" s="281"/>
      <x:c r="D138" s="281"/>
      <x:c r="E138" s="281"/>
      <x:c r="F138" s="281"/>
      <x:c r="G138" s="281"/>
      <x:c r="H138" s="281"/>
      <x:c r="I138" s="281"/>
      <x:c r="J138" s="281"/>
      <x:c r="K138" s="281"/>
      <x:c r="L138" s="281"/>
      <x:c r="M138" s="281"/>
      <x:c r="N138" s="281"/>
      <x:c r="O138" s="281"/>
      <x:c r="P138" s="281"/>
      <x:c r="Q138" s="281"/>
      <x:c r="R138" s="281"/>
      <x:c r="S138" s="281"/>
      <x:c r="T138" s="281"/>
      <x:c r="U138" s="281"/>
      <x:c r="V138" s="281"/>
      <x:c r="W138" s="281"/>
      <x:c r="X138" s="281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281"/>
      <x:c r="B139" s="281"/>
      <x:c r="C139" s="281"/>
      <x:c r="D139" s="281"/>
      <x:c r="E139" s="281"/>
      <x:c r="F139" s="281"/>
      <x:c r="G139" s="281"/>
      <x:c r="H139" s="281"/>
      <x:c r="I139" s="281"/>
      <x:c r="J139" s="281"/>
      <x:c r="K139" s="281"/>
      <x:c r="L139" s="281"/>
      <x:c r="M139" s="281"/>
      <x:c r="N139" s="281"/>
      <x:c r="O139" s="281"/>
      <x:c r="P139" s="281"/>
      <x:c r="Q139" s="281"/>
      <x:c r="R139" s="281"/>
      <x:c r="S139" s="281"/>
      <x:c r="T139" s="281"/>
      <x:c r="U139" s="281"/>
      <x:c r="V139" s="281"/>
      <x:c r="W139" s="281"/>
      <x:c r="X139" s="281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281"/>
      <x:c r="B140" s="281"/>
      <x:c r="C140" s="281"/>
      <x:c r="D140" s="281"/>
      <x:c r="E140" s="281"/>
      <x:c r="F140" s="281"/>
      <x:c r="G140" s="281"/>
      <x:c r="H140" s="281"/>
      <x:c r="I140" s="281"/>
      <x:c r="J140" s="281"/>
      <x:c r="K140" s="281"/>
      <x:c r="L140" s="281"/>
      <x:c r="M140" s="281"/>
      <x:c r="N140" s="281"/>
      <x:c r="O140" s="281"/>
      <x:c r="P140" s="281"/>
      <x:c r="Q140" s="281"/>
      <x:c r="R140" s="281"/>
      <x:c r="S140" s="281"/>
      <x:c r="T140" s="281"/>
      <x:c r="U140" s="281"/>
      <x:c r="V140" s="281"/>
      <x:c r="W140" s="281"/>
      <x:c r="X140" s="281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281"/>
      <x:c r="B141" s="281"/>
      <x:c r="C141" s="281"/>
      <x:c r="D141" s="281"/>
      <x:c r="E141" s="281"/>
      <x:c r="F141" s="281"/>
      <x:c r="G141" s="281"/>
      <x:c r="H141" s="281"/>
      <x:c r="I141" s="281"/>
      <x:c r="J141" s="281"/>
      <x:c r="K141" s="281"/>
      <x:c r="L141" s="281"/>
      <x:c r="M141" s="281"/>
      <x:c r="N141" s="281"/>
      <x:c r="O141" s="281"/>
      <x:c r="P141" s="281"/>
      <x:c r="Q141" s="281"/>
      <x:c r="R141" s="281"/>
      <x:c r="S141" s="281"/>
      <x:c r="T141" s="281"/>
      <x:c r="U141" s="281"/>
      <x:c r="V141" s="281"/>
      <x:c r="W141" s="281"/>
      <x:c r="X141" s="281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281"/>
      <x:c r="B142" s="281"/>
      <x:c r="C142" s="281"/>
      <x:c r="D142" s="281"/>
      <x:c r="E142" s="281"/>
      <x:c r="F142" s="281"/>
      <x:c r="G142" s="281"/>
      <x:c r="H142" s="281"/>
      <x:c r="I142" s="281"/>
      <x:c r="J142" s="281"/>
      <x:c r="K142" s="281"/>
      <x:c r="L142" s="281"/>
      <x:c r="M142" s="281"/>
      <x:c r="N142" s="281"/>
      <x:c r="O142" s="281"/>
      <x:c r="P142" s="281"/>
      <x:c r="Q142" s="281"/>
      <x:c r="R142" s="281"/>
      <x:c r="S142" s="281"/>
      <x:c r="T142" s="281"/>
      <x:c r="U142" s="281"/>
      <x:c r="V142" s="281"/>
      <x:c r="W142" s="281"/>
      <x:c r="X142" s="281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281"/>
      <x:c r="B143" s="281"/>
      <x:c r="C143" s="281"/>
      <x:c r="D143" s="281"/>
      <x:c r="E143" s="281"/>
      <x:c r="F143" s="281"/>
      <x:c r="G143" s="281"/>
      <x:c r="H143" s="281"/>
      <x:c r="I143" s="281"/>
      <x:c r="J143" s="281"/>
      <x:c r="K143" s="281"/>
      <x:c r="L143" s="281"/>
      <x:c r="M143" s="281"/>
      <x:c r="N143" s="281"/>
      <x:c r="O143" s="281"/>
      <x:c r="P143" s="281"/>
      <x:c r="Q143" s="281"/>
      <x:c r="R143" s="281"/>
      <x:c r="S143" s="281"/>
      <x:c r="T143" s="281"/>
      <x:c r="U143" s="281"/>
      <x:c r="V143" s="281"/>
      <x:c r="W143" s="281"/>
      <x:c r="X143" s="281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281"/>
      <x:c r="B144" s="281"/>
      <x:c r="C144" s="281"/>
      <x:c r="D144" s="281"/>
      <x:c r="E144" s="281"/>
      <x:c r="F144" s="281"/>
      <x:c r="G144" s="281"/>
      <x:c r="H144" s="281"/>
      <x:c r="I144" s="281"/>
      <x:c r="J144" s="281"/>
      <x:c r="K144" s="281"/>
      <x:c r="L144" s="281"/>
      <x:c r="M144" s="281"/>
      <x:c r="N144" s="281"/>
      <x:c r="O144" s="281"/>
      <x:c r="P144" s="281"/>
      <x:c r="Q144" s="281"/>
      <x:c r="R144" s="281"/>
      <x:c r="S144" s="281"/>
      <x:c r="T144" s="281"/>
      <x:c r="U144" s="281"/>
      <x:c r="V144" s="281"/>
      <x:c r="W144" s="281"/>
      <x:c r="X144" s="281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281"/>
      <x:c r="B145" s="281"/>
      <x:c r="C145" s="281"/>
      <x:c r="D145" s="281"/>
      <x:c r="E145" s="281"/>
      <x:c r="F145" s="281"/>
      <x:c r="G145" s="281"/>
      <x:c r="H145" s="281"/>
      <x:c r="I145" s="281"/>
      <x:c r="J145" s="281"/>
      <x:c r="K145" s="281"/>
      <x:c r="L145" s="281"/>
      <x:c r="M145" s="281"/>
      <x:c r="N145" s="281"/>
      <x:c r="O145" s="281"/>
      <x:c r="P145" s="281"/>
      <x:c r="Q145" s="281"/>
      <x:c r="R145" s="281"/>
      <x:c r="S145" s="281"/>
      <x:c r="T145" s="281"/>
      <x:c r="U145" s="281"/>
      <x:c r="V145" s="281"/>
      <x:c r="W145" s="281"/>
      <x:c r="X145" s="281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281"/>
      <x:c r="B146" s="281"/>
      <x:c r="C146" s="281"/>
      <x:c r="D146" s="281"/>
      <x:c r="E146" s="281"/>
      <x:c r="F146" s="281"/>
      <x:c r="G146" s="281"/>
      <x:c r="H146" s="281"/>
      <x:c r="I146" s="281"/>
      <x:c r="J146" s="281"/>
      <x:c r="K146" s="281"/>
      <x:c r="L146" s="281"/>
      <x:c r="M146" s="281"/>
      <x:c r="N146" s="281"/>
      <x:c r="O146" s="281"/>
      <x:c r="P146" s="281"/>
      <x:c r="Q146" s="281"/>
      <x:c r="R146" s="281"/>
      <x:c r="S146" s="281"/>
      <x:c r="T146" s="281"/>
      <x:c r="U146" s="281"/>
      <x:c r="V146" s="281"/>
      <x:c r="W146" s="281"/>
      <x:c r="X146" s="281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281"/>
      <x:c r="B147" s="281"/>
      <x:c r="C147" s="281"/>
      <x:c r="D147" s="281"/>
      <x:c r="E147" s="281"/>
      <x:c r="F147" s="281"/>
      <x:c r="G147" s="281"/>
      <x:c r="H147" s="281"/>
      <x:c r="I147" s="281"/>
      <x:c r="J147" s="281"/>
      <x:c r="K147" s="281"/>
      <x:c r="L147" s="281"/>
      <x:c r="M147" s="281"/>
      <x:c r="N147" s="281"/>
      <x:c r="O147" s="281"/>
      <x:c r="P147" s="281"/>
      <x:c r="Q147" s="281"/>
      <x:c r="R147" s="281"/>
      <x:c r="S147" s="281"/>
      <x:c r="T147" s="281"/>
      <x:c r="U147" s="281"/>
      <x:c r="V147" s="281"/>
      <x:c r="W147" s="281"/>
      <x:c r="X147" s="281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281"/>
      <x:c r="B148" s="281"/>
      <x:c r="C148" s="281"/>
      <x:c r="D148" s="281"/>
      <x:c r="E148" s="281"/>
      <x:c r="F148" s="281"/>
      <x:c r="G148" s="281"/>
      <x:c r="H148" s="281"/>
      <x:c r="I148" s="281"/>
      <x:c r="J148" s="281"/>
      <x:c r="K148" s="281"/>
      <x:c r="L148" s="281"/>
      <x:c r="M148" s="281"/>
      <x:c r="N148" s="281"/>
      <x:c r="O148" s="281"/>
      <x:c r="P148" s="281"/>
      <x:c r="Q148" s="281"/>
      <x:c r="R148" s="281"/>
      <x:c r="S148" s="281"/>
      <x:c r="T148" s="281"/>
      <x:c r="U148" s="281"/>
      <x:c r="V148" s="281"/>
      <x:c r="W148" s="281"/>
      <x:c r="X148" s="281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281"/>
      <x:c r="B149" s="281"/>
      <x:c r="C149" s="281"/>
      <x:c r="D149" s="281"/>
      <x:c r="E149" s="281"/>
      <x:c r="F149" s="281"/>
      <x:c r="G149" s="281"/>
      <x:c r="H149" s="281"/>
      <x:c r="I149" s="281"/>
      <x:c r="J149" s="281"/>
      <x:c r="K149" s="281"/>
      <x:c r="L149" s="281"/>
      <x:c r="M149" s="281"/>
      <x:c r="N149" s="281"/>
      <x:c r="O149" s="281"/>
      <x:c r="P149" s="281"/>
      <x:c r="Q149" s="281"/>
      <x:c r="R149" s="281"/>
      <x:c r="S149" s="281"/>
      <x:c r="T149" s="281"/>
      <x:c r="U149" s="281"/>
      <x:c r="V149" s="281"/>
      <x:c r="W149" s="281"/>
      <x:c r="X149" s="281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281"/>
      <x:c r="B150" s="281"/>
      <x:c r="C150" s="281"/>
      <x:c r="D150" s="281"/>
      <x:c r="E150" s="281"/>
      <x:c r="F150" s="281"/>
      <x:c r="G150" s="281"/>
      <x:c r="H150" s="281"/>
      <x:c r="I150" s="281"/>
      <x:c r="J150" s="281"/>
      <x:c r="K150" s="281"/>
      <x:c r="L150" s="281"/>
      <x:c r="M150" s="281"/>
      <x:c r="N150" s="281"/>
      <x:c r="O150" s="281"/>
      <x:c r="P150" s="281"/>
      <x:c r="Q150" s="281"/>
      <x:c r="R150" s="281"/>
      <x:c r="S150" s="281"/>
      <x:c r="T150" s="281"/>
      <x:c r="U150" s="281"/>
      <x:c r="V150" s="281"/>
      <x:c r="W150" s="281"/>
      <x:c r="X150" s="281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281"/>
      <x:c r="B151" s="281"/>
      <x:c r="C151" s="281"/>
      <x:c r="D151" s="281"/>
      <x:c r="E151" s="281"/>
      <x:c r="F151" s="281"/>
      <x:c r="G151" s="281"/>
      <x:c r="H151" s="281"/>
      <x:c r="I151" s="281"/>
      <x:c r="J151" s="281"/>
      <x:c r="K151" s="281"/>
      <x:c r="L151" s="281"/>
      <x:c r="M151" s="281"/>
      <x:c r="N151" s="281"/>
      <x:c r="O151" s="281"/>
      <x:c r="P151" s="281"/>
      <x:c r="Q151" s="281"/>
      <x:c r="R151" s="281"/>
      <x:c r="S151" s="281"/>
      <x:c r="T151" s="281"/>
      <x:c r="U151" s="281"/>
      <x:c r="V151" s="281"/>
      <x:c r="W151" s="281"/>
      <x:c r="X151" s="281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281"/>
      <x:c r="B152" s="281"/>
      <x:c r="C152" s="281"/>
      <x:c r="D152" s="281"/>
      <x:c r="E152" s="281"/>
      <x:c r="F152" s="281"/>
      <x:c r="G152" s="281"/>
      <x:c r="H152" s="281"/>
      <x:c r="I152" s="281"/>
      <x:c r="J152" s="281"/>
      <x:c r="K152" s="281"/>
      <x:c r="L152" s="281"/>
      <x:c r="M152" s="281"/>
      <x:c r="N152" s="281"/>
      <x:c r="O152" s="281"/>
      <x:c r="P152" s="281"/>
      <x:c r="Q152" s="281"/>
      <x:c r="R152" s="281"/>
      <x:c r="S152" s="281"/>
      <x:c r="T152" s="281"/>
      <x:c r="U152" s="281"/>
      <x:c r="V152" s="281"/>
      <x:c r="W152" s="281"/>
      <x:c r="X152" s="281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281"/>
      <x:c r="B153" s="281"/>
      <x:c r="C153" s="281"/>
      <x:c r="D153" s="281"/>
      <x:c r="E153" s="281"/>
      <x:c r="F153" s="281"/>
      <x:c r="G153" s="281"/>
      <x:c r="H153" s="281"/>
      <x:c r="I153" s="281"/>
      <x:c r="J153" s="281"/>
      <x:c r="K153" s="281"/>
      <x:c r="L153" s="281"/>
      <x:c r="M153" s="281"/>
      <x:c r="N153" s="281"/>
      <x:c r="O153" s="281"/>
      <x:c r="P153" s="281"/>
      <x:c r="Q153" s="281"/>
      <x:c r="R153" s="281"/>
      <x:c r="S153" s="281"/>
      <x:c r="T153" s="281"/>
      <x:c r="U153" s="281"/>
      <x:c r="V153" s="281"/>
      <x:c r="W153" s="281"/>
      <x:c r="X153" s="281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281"/>
      <x:c r="B154" s="281"/>
      <x:c r="C154" s="281"/>
      <x:c r="D154" s="281"/>
      <x:c r="E154" s="281"/>
      <x:c r="F154" s="281"/>
      <x:c r="G154" s="281"/>
      <x:c r="H154" s="281"/>
      <x:c r="I154" s="281"/>
      <x:c r="J154" s="281"/>
      <x:c r="K154" s="281"/>
      <x:c r="L154" s="281"/>
      <x:c r="M154" s="281"/>
      <x:c r="N154" s="281"/>
      <x:c r="O154" s="281"/>
      <x:c r="P154" s="281"/>
      <x:c r="Q154" s="281"/>
      <x:c r="R154" s="281"/>
      <x:c r="S154" s="281"/>
      <x:c r="T154" s="281"/>
      <x:c r="U154" s="281"/>
      <x:c r="V154" s="281"/>
      <x:c r="W154" s="281"/>
      <x:c r="X154" s="281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281"/>
      <x:c r="B155" s="281"/>
      <x:c r="C155" s="281"/>
      <x:c r="D155" s="281"/>
      <x:c r="E155" s="281"/>
      <x:c r="F155" s="281"/>
      <x:c r="G155" s="281"/>
      <x:c r="H155" s="281"/>
      <x:c r="I155" s="281"/>
      <x:c r="J155" s="281"/>
      <x:c r="K155" s="281"/>
      <x:c r="L155" s="281"/>
      <x:c r="M155" s="281"/>
      <x:c r="N155" s="281"/>
      <x:c r="O155" s="281"/>
      <x:c r="P155" s="281"/>
      <x:c r="Q155" s="281"/>
      <x:c r="R155" s="281"/>
      <x:c r="S155" s="281"/>
      <x:c r="T155" s="281"/>
      <x:c r="U155" s="281"/>
      <x:c r="V155" s="281"/>
      <x:c r="W155" s="281"/>
      <x:c r="X155" s="281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281"/>
      <x:c r="B156" s="281"/>
      <x:c r="C156" s="281"/>
      <x:c r="D156" s="281"/>
      <x:c r="E156" s="281"/>
      <x:c r="F156" s="281"/>
      <x:c r="G156" s="281"/>
      <x:c r="H156" s="281"/>
      <x:c r="I156" s="281"/>
      <x:c r="J156" s="281"/>
      <x:c r="K156" s="281"/>
      <x:c r="L156" s="281"/>
      <x:c r="M156" s="281"/>
      <x:c r="N156" s="281"/>
      <x:c r="O156" s="281"/>
      <x:c r="P156" s="281"/>
      <x:c r="Q156" s="281"/>
      <x:c r="R156" s="281"/>
      <x:c r="S156" s="281"/>
      <x:c r="T156" s="281"/>
      <x:c r="U156" s="281"/>
      <x:c r="V156" s="281"/>
      <x:c r="W156" s="281"/>
      <x:c r="X156" s="281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281"/>
      <x:c r="B157" s="281"/>
      <x:c r="C157" s="281"/>
      <x:c r="D157" s="281"/>
      <x:c r="E157" s="281"/>
      <x:c r="F157" s="281"/>
      <x:c r="G157" s="281"/>
      <x:c r="H157" s="281"/>
      <x:c r="I157" s="281"/>
      <x:c r="J157" s="281"/>
      <x:c r="K157" s="281"/>
      <x:c r="L157" s="281"/>
      <x:c r="M157" s="281"/>
      <x:c r="N157" s="281"/>
      <x:c r="O157" s="281"/>
      <x:c r="P157" s="281"/>
      <x:c r="Q157" s="281"/>
      <x:c r="R157" s="281"/>
      <x:c r="S157" s="281"/>
      <x:c r="T157" s="281"/>
      <x:c r="U157" s="281"/>
      <x:c r="V157" s="281"/>
      <x:c r="W157" s="281"/>
      <x:c r="X157" s="281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281"/>
      <x:c r="B158" s="281"/>
      <x:c r="C158" s="281"/>
      <x:c r="D158" s="281"/>
      <x:c r="E158" s="281"/>
      <x:c r="F158" s="281"/>
      <x:c r="G158" s="281"/>
      <x:c r="H158" s="281"/>
      <x:c r="I158" s="281"/>
      <x:c r="J158" s="281"/>
      <x:c r="K158" s="281"/>
      <x:c r="L158" s="281"/>
      <x:c r="M158" s="281"/>
      <x:c r="N158" s="281"/>
      <x:c r="O158" s="281"/>
      <x:c r="P158" s="281"/>
      <x:c r="Q158" s="281"/>
      <x:c r="R158" s="281"/>
      <x:c r="S158" s="281"/>
      <x:c r="T158" s="281"/>
      <x:c r="U158" s="281"/>
      <x:c r="V158" s="281"/>
      <x:c r="W158" s="281"/>
      <x:c r="X158" s="281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281"/>
      <x:c r="B159" s="281"/>
      <x:c r="C159" s="281"/>
      <x:c r="D159" s="281"/>
      <x:c r="E159" s="281"/>
      <x:c r="F159" s="281"/>
      <x:c r="G159" s="281"/>
      <x:c r="H159" s="281"/>
      <x:c r="I159" s="281"/>
      <x:c r="J159" s="281"/>
      <x:c r="K159" s="281"/>
      <x:c r="L159" s="281"/>
      <x:c r="M159" s="281"/>
      <x:c r="N159" s="281"/>
      <x:c r="O159" s="281"/>
      <x:c r="P159" s="281"/>
      <x:c r="Q159" s="281"/>
      <x:c r="R159" s="281"/>
      <x:c r="S159" s="281"/>
      <x:c r="T159" s="281"/>
      <x:c r="U159" s="281"/>
      <x:c r="V159" s="281"/>
      <x:c r="W159" s="281"/>
      <x:c r="X159" s="281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281"/>
      <x:c r="B160" s="281"/>
      <x:c r="C160" s="281"/>
      <x:c r="D160" s="281"/>
      <x:c r="E160" s="281"/>
      <x:c r="F160" s="281"/>
      <x:c r="G160" s="281"/>
      <x:c r="H160" s="281"/>
      <x:c r="I160" s="281"/>
      <x:c r="J160" s="281"/>
      <x:c r="K160" s="281"/>
      <x:c r="L160" s="281"/>
      <x:c r="M160" s="281"/>
      <x:c r="N160" s="281"/>
      <x:c r="O160" s="281"/>
      <x:c r="P160" s="281"/>
      <x:c r="Q160" s="281"/>
      <x:c r="R160" s="281"/>
      <x:c r="S160" s="281"/>
      <x:c r="T160" s="281"/>
      <x:c r="U160" s="281"/>
      <x:c r="V160" s="281"/>
      <x:c r="W160" s="281"/>
      <x:c r="X160" s="281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281"/>
      <x:c r="B161" s="281"/>
      <x:c r="C161" s="281"/>
      <x:c r="D161" s="281"/>
      <x:c r="E161" s="281"/>
      <x:c r="F161" s="281"/>
      <x:c r="G161" s="281"/>
      <x:c r="H161" s="281"/>
      <x:c r="I161" s="281"/>
      <x:c r="J161" s="281"/>
      <x:c r="K161" s="281"/>
      <x:c r="L161" s="281"/>
      <x:c r="M161" s="281"/>
      <x:c r="N161" s="281"/>
      <x:c r="O161" s="281"/>
      <x:c r="P161" s="281"/>
      <x:c r="Q161" s="281"/>
      <x:c r="R161" s="281"/>
      <x:c r="S161" s="281"/>
      <x:c r="T161" s="281"/>
      <x:c r="U161" s="281"/>
      <x:c r="V161" s="281"/>
      <x:c r="W161" s="281"/>
      <x:c r="X161" s="281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281"/>
      <x:c r="B162" s="281"/>
      <x:c r="C162" s="281"/>
      <x:c r="D162" s="281"/>
      <x:c r="E162" s="281"/>
      <x:c r="F162" s="281"/>
      <x:c r="G162" s="281"/>
      <x:c r="H162" s="281"/>
      <x:c r="I162" s="281"/>
      <x:c r="J162" s="281"/>
      <x:c r="K162" s="281"/>
      <x:c r="L162" s="281"/>
      <x:c r="M162" s="281"/>
      <x:c r="N162" s="281"/>
      <x:c r="O162" s="281"/>
      <x:c r="P162" s="281"/>
      <x:c r="Q162" s="281"/>
      <x:c r="R162" s="281"/>
      <x:c r="S162" s="281"/>
      <x:c r="T162" s="281"/>
      <x:c r="U162" s="281"/>
      <x:c r="V162" s="281"/>
      <x:c r="W162" s="281"/>
      <x:c r="X162" s="281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281"/>
      <x:c r="B163" s="281"/>
      <x:c r="C163" s="281"/>
      <x:c r="D163" s="281"/>
      <x:c r="E163" s="281"/>
      <x:c r="F163" s="281"/>
      <x:c r="G163" s="281"/>
      <x:c r="H163" s="281"/>
      <x:c r="I163" s="281"/>
      <x:c r="J163" s="281"/>
      <x:c r="K163" s="281"/>
      <x:c r="L163" s="281"/>
      <x:c r="M163" s="281"/>
      <x:c r="N163" s="281"/>
      <x:c r="O163" s="281"/>
      <x:c r="P163" s="281"/>
      <x:c r="Q163" s="281"/>
      <x:c r="R163" s="281"/>
      <x:c r="S163" s="281"/>
      <x:c r="T163" s="281"/>
      <x:c r="U163" s="281"/>
      <x:c r="V163" s="281"/>
      <x:c r="W163" s="281"/>
      <x:c r="X163" s="281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281"/>
      <x:c r="B164" s="281"/>
      <x:c r="C164" s="281"/>
      <x:c r="D164" s="281"/>
      <x:c r="E164" s="281"/>
      <x:c r="F164" s="281"/>
      <x:c r="G164" s="281"/>
      <x:c r="H164" s="281"/>
      <x:c r="I164" s="281"/>
      <x:c r="J164" s="281"/>
      <x:c r="K164" s="281"/>
      <x:c r="L164" s="281"/>
      <x:c r="M164" s="281"/>
      <x:c r="N164" s="281"/>
      <x:c r="O164" s="281"/>
      <x:c r="P164" s="281"/>
      <x:c r="Q164" s="281"/>
      <x:c r="R164" s="281"/>
      <x:c r="S164" s="281"/>
      <x:c r="T164" s="281"/>
      <x:c r="U164" s="281"/>
      <x:c r="V164" s="281"/>
      <x:c r="W164" s="281"/>
      <x:c r="X164" s="281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281"/>
      <x:c r="B165" s="281"/>
      <x:c r="C165" s="281"/>
      <x:c r="D165" s="281"/>
      <x:c r="E165" s="281"/>
      <x:c r="F165" s="281"/>
      <x:c r="G165" s="281"/>
      <x:c r="H165" s="281"/>
      <x:c r="I165" s="281"/>
      <x:c r="J165" s="281"/>
      <x:c r="K165" s="281"/>
      <x:c r="L165" s="281"/>
      <x:c r="M165" s="281"/>
      <x:c r="N165" s="281"/>
      <x:c r="O165" s="281"/>
      <x:c r="P165" s="281"/>
      <x:c r="Q165" s="281"/>
      <x:c r="R165" s="281"/>
      <x:c r="S165" s="281"/>
      <x:c r="T165" s="281"/>
      <x:c r="U165" s="281"/>
      <x:c r="V165" s="281"/>
      <x:c r="W165" s="281"/>
      <x:c r="X165" s="281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281"/>
      <x:c r="B166" s="281"/>
      <x:c r="C166" s="281"/>
      <x:c r="D166" s="281"/>
      <x:c r="E166" s="281"/>
      <x:c r="F166" s="281"/>
      <x:c r="G166" s="281"/>
      <x:c r="H166" s="281"/>
      <x:c r="I166" s="281"/>
      <x:c r="J166" s="281"/>
      <x:c r="K166" s="281"/>
      <x:c r="L166" s="281"/>
      <x:c r="M166" s="281"/>
      <x:c r="N166" s="281"/>
      <x:c r="O166" s="281"/>
      <x:c r="P166" s="281"/>
      <x:c r="Q166" s="281"/>
      <x:c r="R166" s="281"/>
      <x:c r="S166" s="281"/>
      <x:c r="T166" s="281"/>
      <x:c r="U166" s="281"/>
      <x:c r="V166" s="281"/>
      <x:c r="W166" s="281"/>
      <x:c r="X166" s="281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281"/>
      <x:c r="B167" s="281"/>
      <x:c r="C167" s="281"/>
      <x:c r="D167" s="281"/>
      <x:c r="E167" s="281"/>
      <x:c r="F167" s="281"/>
      <x:c r="G167" s="281"/>
      <x:c r="H167" s="281"/>
      <x:c r="I167" s="281"/>
      <x:c r="J167" s="281"/>
      <x:c r="K167" s="281"/>
      <x:c r="L167" s="281"/>
      <x:c r="M167" s="281"/>
      <x:c r="N167" s="281"/>
      <x:c r="O167" s="281"/>
      <x:c r="P167" s="281"/>
      <x:c r="Q167" s="281"/>
      <x:c r="R167" s="281"/>
      <x:c r="S167" s="281"/>
      <x:c r="T167" s="281"/>
      <x:c r="U167" s="281"/>
      <x:c r="V167" s="281"/>
      <x:c r="W167" s="281"/>
      <x:c r="X167" s="281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281"/>
      <x:c r="B168" s="281"/>
      <x:c r="C168" s="281"/>
      <x:c r="D168" s="281"/>
      <x:c r="E168" s="281"/>
      <x:c r="F168" s="281"/>
      <x:c r="G168" s="281"/>
      <x:c r="H168" s="281"/>
      <x:c r="I168" s="281"/>
      <x:c r="J168" s="281"/>
      <x:c r="K168" s="281"/>
      <x:c r="L168" s="281"/>
      <x:c r="M168" s="281"/>
      <x:c r="N168" s="281"/>
      <x:c r="O168" s="281"/>
      <x:c r="P168" s="281"/>
      <x:c r="Q168" s="281"/>
      <x:c r="R168" s="281"/>
      <x:c r="S168" s="281"/>
      <x:c r="T168" s="281"/>
      <x:c r="U168" s="281"/>
      <x:c r="V168" s="281"/>
      <x:c r="W168" s="281"/>
      <x:c r="X168" s="281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281"/>
      <x:c r="B169" s="281"/>
      <x:c r="C169" s="281"/>
      <x:c r="D169" s="281"/>
      <x:c r="E169" s="281"/>
      <x:c r="F169" s="281"/>
      <x:c r="G169" s="281"/>
      <x:c r="H169" s="281"/>
      <x:c r="I169" s="281"/>
      <x:c r="J169" s="281"/>
      <x:c r="K169" s="281"/>
      <x:c r="L169" s="281"/>
      <x:c r="M169" s="281"/>
      <x:c r="N169" s="281"/>
      <x:c r="O169" s="281"/>
      <x:c r="P169" s="281"/>
      <x:c r="Q169" s="281"/>
      <x:c r="R169" s="281"/>
      <x:c r="S169" s="281"/>
      <x:c r="T169" s="281"/>
      <x:c r="U169" s="281"/>
      <x:c r="V169" s="281"/>
      <x:c r="W169" s="281"/>
      <x:c r="X169" s="281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281"/>
      <x:c r="B170" s="281"/>
      <x:c r="C170" s="281"/>
      <x:c r="D170" s="281"/>
      <x:c r="E170" s="281"/>
      <x:c r="F170" s="281"/>
      <x:c r="G170" s="281"/>
      <x:c r="H170" s="281"/>
      <x:c r="I170" s="281"/>
      <x:c r="J170" s="281"/>
      <x:c r="K170" s="281"/>
      <x:c r="L170" s="281"/>
      <x:c r="M170" s="281"/>
      <x:c r="N170" s="281"/>
      <x:c r="O170" s="281"/>
      <x:c r="P170" s="281"/>
      <x:c r="Q170" s="281"/>
      <x:c r="R170" s="281"/>
      <x:c r="S170" s="281"/>
      <x:c r="T170" s="281"/>
      <x:c r="U170" s="281"/>
      <x:c r="V170" s="281"/>
      <x:c r="W170" s="281"/>
      <x:c r="X170" s="281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281"/>
      <x:c r="B171" s="281"/>
      <x:c r="C171" s="281"/>
      <x:c r="D171" s="281"/>
      <x:c r="E171" s="281"/>
      <x:c r="F171" s="281"/>
      <x:c r="G171" s="281"/>
      <x:c r="H171" s="281"/>
      <x:c r="I171" s="281"/>
      <x:c r="J171" s="281"/>
      <x:c r="K171" s="281"/>
      <x:c r="L171" s="281"/>
      <x:c r="M171" s="281"/>
      <x:c r="N171" s="281"/>
      <x:c r="O171" s="281"/>
      <x:c r="P171" s="281"/>
      <x:c r="Q171" s="281"/>
      <x:c r="R171" s="281"/>
      <x:c r="S171" s="281"/>
      <x:c r="T171" s="281"/>
      <x:c r="U171" s="281"/>
      <x:c r="V171" s="281"/>
      <x:c r="W171" s="281"/>
      <x:c r="X171" s="281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281"/>
      <x:c r="B172" s="281"/>
      <x:c r="C172" s="281"/>
      <x:c r="D172" s="281"/>
      <x:c r="E172" s="281"/>
      <x:c r="F172" s="281"/>
      <x:c r="G172" s="281"/>
      <x:c r="H172" s="281"/>
      <x:c r="I172" s="281"/>
      <x:c r="J172" s="281"/>
      <x:c r="K172" s="281"/>
      <x:c r="L172" s="281"/>
      <x:c r="M172" s="281"/>
      <x:c r="N172" s="281"/>
      <x:c r="O172" s="281"/>
      <x:c r="P172" s="281"/>
      <x:c r="Q172" s="281"/>
      <x:c r="R172" s="281"/>
      <x:c r="S172" s="281"/>
      <x:c r="T172" s="281"/>
      <x:c r="U172" s="281"/>
      <x:c r="V172" s="281"/>
      <x:c r="W172" s="281"/>
      <x:c r="X172" s="281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281"/>
      <x:c r="B173" s="281"/>
      <x:c r="C173" s="281"/>
      <x:c r="D173" s="281"/>
      <x:c r="E173" s="281"/>
      <x:c r="F173" s="281"/>
      <x:c r="G173" s="281"/>
      <x:c r="H173" s="281"/>
      <x:c r="I173" s="281"/>
      <x:c r="J173" s="281"/>
      <x:c r="K173" s="281"/>
      <x:c r="L173" s="281"/>
      <x:c r="M173" s="281"/>
      <x:c r="N173" s="281"/>
      <x:c r="O173" s="281"/>
      <x:c r="P173" s="281"/>
      <x:c r="Q173" s="281"/>
      <x:c r="R173" s="281"/>
      <x:c r="S173" s="281"/>
      <x:c r="T173" s="281"/>
      <x:c r="U173" s="281"/>
      <x:c r="V173" s="281"/>
      <x:c r="W173" s="281"/>
      <x:c r="X173" s="281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281"/>
      <x:c r="B174" s="281"/>
      <x:c r="C174" s="281"/>
      <x:c r="D174" s="281"/>
      <x:c r="E174" s="281"/>
      <x:c r="F174" s="281"/>
      <x:c r="G174" s="281"/>
      <x:c r="H174" s="281"/>
      <x:c r="I174" s="281"/>
      <x:c r="J174" s="281"/>
      <x:c r="K174" s="281"/>
      <x:c r="L174" s="281"/>
      <x:c r="M174" s="281"/>
      <x:c r="N174" s="281"/>
      <x:c r="O174" s="281"/>
      <x:c r="P174" s="281"/>
      <x:c r="Q174" s="281"/>
      <x:c r="R174" s="281"/>
      <x:c r="S174" s="281"/>
      <x:c r="T174" s="281"/>
      <x:c r="U174" s="281"/>
      <x:c r="V174" s="281"/>
      <x:c r="W174" s="281"/>
      <x:c r="X174" s="281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281"/>
      <x:c r="B175" s="281"/>
      <x:c r="C175" s="281"/>
      <x:c r="D175" s="281"/>
      <x:c r="E175" s="281"/>
      <x:c r="F175" s="281"/>
      <x:c r="G175" s="281"/>
      <x:c r="H175" s="281"/>
      <x:c r="I175" s="281"/>
      <x:c r="J175" s="281"/>
      <x:c r="K175" s="281"/>
      <x:c r="L175" s="281"/>
      <x:c r="M175" s="281"/>
      <x:c r="N175" s="281"/>
      <x:c r="O175" s="281"/>
      <x:c r="P175" s="281"/>
      <x:c r="Q175" s="281"/>
      <x:c r="R175" s="281"/>
      <x:c r="S175" s="281"/>
      <x:c r="T175" s="281"/>
      <x:c r="U175" s="281"/>
      <x:c r="V175" s="281"/>
      <x:c r="W175" s="281"/>
      <x:c r="X175" s="281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281"/>
      <x:c r="B176" s="281"/>
      <x:c r="C176" s="281"/>
      <x:c r="D176" s="281"/>
      <x:c r="E176" s="281"/>
      <x:c r="F176" s="281"/>
      <x:c r="G176" s="281"/>
      <x:c r="H176" s="281"/>
      <x:c r="I176" s="281"/>
      <x:c r="J176" s="281"/>
      <x:c r="K176" s="281"/>
      <x:c r="L176" s="281"/>
      <x:c r="M176" s="281"/>
      <x:c r="N176" s="281"/>
      <x:c r="O176" s="281"/>
      <x:c r="P176" s="281"/>
      <x:c r="Q176" s="281"/>
      <x:c r="R176" s="281"/>
      <x:c r="S176" s="281"/>
      <x:c r="T176" s="281"/>
      <x:c r="U176" s="281"/>
      <x:c r="V176" s="281"/>
      <x:c r="W176" s="281"/>
      <x:c r="X176" s="281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281"/>
      <x:c r="B177" s="281"/>
      <x:c r="C177" s="281"/>
      <x:c r="D177" s="281"/>
      <x:c r="E177" s="281"/>
      <x:c r="F177" s="281"/>
      <x:c r="G177" s="281"/>
      <x:c r="H177" s="281"/>
      <x:c r="I177" s="281"/>
      <x:c r="J177" s="281"/>
      <x:c r="K177" s="281"/>
      <x:c r="L177" s="281"/>
      <x:c r="M177" s="281"/>
      <x:c r="N177" s="281"/>
      <x:c r="O177" s="281"/>
      <x:c r="P177" s="281"/>
      <x:c r="Q177" s="281"/>
      <x:c r="R177" s="281"/>
      <x:c r="S177" s="281"/>
      <x:c r="T177" s="281"/>
      <x:c r="U177" s="281"/>
      <x:c r="V177" s="281"/>
      <x:c r="W177" s="281"/>
      <x:c r="X177" s="281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281"/>
      <x:c r="B178" s="281"/>
      <x:c r="C178" s="281"/>
      <x:c r="D178" s="281"/>
      <x:c r="E178" s="281"/>
      <x:c r="F178" s="281"/>
      <x:c r="G178" s="281"/>
      <x:c r="H178" s="281"/>
      <x:c r="I178" s="281"/>
      <x:c r="J178" s="281"/>
      <x:c r="K178" s="281"/>
      <x:c r="L178" s="281"/>
      <x:c r="M178" s="281"/>
      <x:c r="N178" s="281"/>
      <x:c r="O178" s="281"/>
      <x:c r="P178" s="281"/>
      <x:c r="Q178" s="281"/>
      <x:c r="R178" s="281"/>
      <x:c r="S178" s="281"/>
      <x:c r="T178" s="281"/>
      <x:c r="U178" s="281"/>
      <x:c r="V178" s="281"/>
      <x:c r="W178" s="281"/>
      <x:c r="X178" s="281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281"/>
      <x:c r="B179" s="281"/>
      <x:c r="C179" s="281"/>
      <x:c r="D179" s="281"/>
      <x:c r="E179" s="281"/>
      <x:c r="F179" s="281"/>
      <x:c r="G179" s="281"/>
      <x:c r="H179" s="281"/>
      <x:c r="I179" s="281"/>
      <x:c r="J179" s="281"/>
      <x:c r="K179" s="281"/>
      <x:c r="L179" s="281"/>
      <x:c r="M179" s="281"/>
      <x:c r="N179" s="281"/>
      <x:c r="O179" s="281"/>
      <x:c r="P179" s="281"/>
      <x:c r="Q179" s="281"/>
      <x:c r="R179" s="281"/>
      <x:c r="S179" s="281"/>
      <x:c r="T179" s="281"/>
      <x:c r="U179" s="281"/>
      <x:c r="V179" s="281"/>
      <x:c r="W179" s="281"/>
      <x:c r="X179" s="281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281"/>
      <x:c r="B180" s="281"/>
      <x:c r="C180" s="281"/>
      <x:c r="D180" s="281"/>
      <x:c r="E180" s="281"/>
      <x:c r="F180" s="281"/>
      <x:c r="G180" s="281"/>
      <x:c r="H180" s="281"/>
      <x:c r="I180" s="281"/>
      <x:c r="J180" s="281"/>
      <x:c r="K180" s="281"/>
      <x:c r="L180" s="281"/>
      <x:c r="M180" s="281"/>
      <x:c r="N180" s="281"/>
      <x:c r="O180" s="281"/>
      <x:c r="P180" s="281"/>
      <x:c r="Q180" s="281"/>
      <x:c r="R180" s="281"/>
      <x:c r="S180" s="281"/>
      <x:c r="T180" s="281"/>
      <x:c r="U180" s="281"/>
      <x:c r="V180" s="281"/>
      <x:c r="W180" s="281"/>
      <x:c r="X180" s="281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281"/>
      <x:c r="B181" s="281"/>
      <x:c r="C181" s="281"/>
      <x:c r="D181" s="281"/>
      <x:c r="E181" s="281"/>
      <x:c r="F181" s="281"/>
      <x:c r="G181" s="281"/>
      <x:c r="H181" s="281"/>
      <x:c r="I181" s="281"/>
      <x:c r="J181" s="281"/>
      <x:c r="K181" s="281"/>
      <x:c r="L181" s="281"/>
      <x:c r="M181" s="281"/>
      <x:c r="N181" s="281"/>
      <x:c r="O181" s="281"/>
      <x:c r="P181" s="281"/>
      <x:c r="Q181" s="281"/>
      <x:c r="R181" s="281"/>
      <x:c r="S181" s="281"/>
      <x:c r="T181" s="281"/>
      <x:c r="U181" s="281"/>
      <x:c r="V181" s="281"/>
      <x:c r="W181" s="281"/>
      <x:c r="X181" s="281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281"/>
      <x:c r="B182" s="281"/>
      <x:c r="C182" s="281"/>
      <x:c r="D182" s="281"/>
      <x:c r="E182" s="281"/>
      <x:c r="F182" s="281"/>
      <x:c r="G182" s="281"/>
      <x:c r="H182" s="281"/>
      <x:c r="I182" s="281"/>
      <x:c r="J182" s="281"/>
      <x:c r="K182" s="281"/>
      <x:c r="L182" s="281"/>
      <x:c r="M182" s="281"/>
      <x:c r="N182" s="281"/>
      <x:c r="O182" s="281"/>
      <x:c r="P182" s="281"/>
      <x:c r="Q182" s="281"/>
      <x:c r="R182" s="281"/>
      <x:c r="S182" s="281"/>
      <x:c r="T182" s="281"/>
      <x:c r="U182" s="281"/>
      <x:c r="V182" s="281"/>
      <x:c r="W182" s="281"/>
      <x:c r="X182" s="281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281"/>
      <x:c r="B183" s="281"/>
      <x:c r="C183" s="281"/>
      <x:c r="D183" s="281"/>
      <x:c r="E183" s="281"/>
      <x:c r="F183" s="281"/>
      <x:c r="G183" s="281"/>
      <x:c r="H183" s="281"/>
      <x:c r="I183" s="281"/>
      <x:c r="J183" s="281"/>
      <x:c r="K183" s="281"/>
      <x:c r="L183" s="281"/>
      <x:c r="M183" s="281"/>
      <x:c r="N183" s="281"/>
      <x:c r="O183" s="281"/>
      <x:c r="P183" s="281"/>
      <x:c r="Q183" s="281"/>
      <x:c r="R183" s="281"/>
      <x:c r="S183" s="281"/>
      <x:c r="T183" s="281"/>
      <x:c r="U183" s="281"/>
      <x:c r="V183" s="281"/>
      <x:c r="W183" s="281"/>
      <x:c r="X183" s="281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281"/>
      <x:c r="B184" s="281"/>
      <x:c r="C184" s="281"/>
      <x:c r="D184" s="281"/>
      <x:c r="E184" s="281"/>
      <x:c r="F184" s="281"/>
      <x:c r="G184" s="281"/>
      <x:c r="H184" s="281"/>
      <x:c r="I184" s="281"/>
      <x:c r="J184" s="281"/>
      <x:c r="K184" s="281"/>
      <x:c r="L184" s="281"/>
      <x:c r="M184" s="281"/>
      <x:c r="N184" s="281"/>
      <x:c r="O184" s="281"/>
      <x:c r="P184" s="281"/>
      <x:c r="Q184" s="281"/>
      <x:c r="R184" s="281"/>
      <x:c r="S184" s="281"/>
      <x:c r="T184" s="281"/>
      <x:c r="U184" s="281"/>
      <x:c r="V184" s="281"/>
      <x:c r="W184" s="281"/>
      <x:c r="X184" s="281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281"/>
      <x:c r="B185" s="281"/>
      <x:c r="C185" s="281"/>
      <x:c r="D185" s="281"/>
      <x:c r="E185" s="281"/>
      <x:c r="F185" s="281"/>
      <x:c r="G185" s="281"/>
      <x:c r="H185" s="281"/>
      <x:c r="I185" s="281"/>
      <x:c r="J185" s="281"/>
      <x:c r="K185" s="281"/>
      <x:c r="L185" s="281"/>
      <x:c r="M185" s="281"/>
      <x:c r="N185" s="281"/>
      <x:c r="O185" s="281"/>
      <x:c r="P185" s="281"/>
      <x:c r="Q185" s="281"/>
      <x:c r="R185" s="281"/>
      <x:c r="S185" s="281"/>
      <x:c r="T185" s="281"/>
      <x:c r="U185" s="281"/>
      <x:c r="V185" s="281"/>
      <x:c r="W185" s="281"/>
      <x:c r="X185" s="281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281"/>
      <x:c r="B186" s="281"/>
      <x:c r="C186" s="281"/>
      <x:c r="D186" s="281"/>
      <x:c r="E186" s="281"/>
      <x:c r="F186" s="281"/>
      <x:c r="G186" s="281"/>
      <x:c r="H186" s="281"/>
      <x:c r="I186" s="281"/>
      <x:c r="J186" s="281"/>
      <x:c r="K186" s="281"/>
      <x:c r="L186" s="281"/>
      <x:c r="M186" s="281"/>
      <x:c r="N186" s="281"/>
      <x:c r="O186" s="281"/>
      <x:c r="P186" s="281"/>
      <x:c r="Q186" s="281"/>
      <x:c r="R186" s="281"/>
      <x:c r="S186" s="281"/>
      <x:c r="T186" s="281"/>
      <x:c r="U186" s="281"/>
      <x:c r="V186" s="281"/>
      <x:c r="W186" s="281"/>
      <x:c r="X186" s="281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281"/>
      <x:c r="B187" s="281"/>
      <x:c r="C187" s="281"/>
      <x:c r="D187" s="281"/>
      <x:c r="E187" s="281"/>
      <x:c r="F187" s="281"/>
      <x:c r="G187" s="281"/>
      <x:c r="H187" s="281"/>
      <x:c r="I187" s="281"/>
      <x:c r="J187" s="281"/>
      <x:c r="K187" s="281"/>
      <x:c r="L187" s="281"/>
      <x:c r="M187" s="281"/>
      <x:c r="N187" s="281"/>
      <x:c r="O187" s="281"/>
      <x:c r="P187" s="281"/>
      <x:c r="Q187" s="281"/>
      <x:c r="R187" s="281"/>
      <x:c r="S187" s="281"/>
      <x:c r="T187" s="281"/>
      <x:c r="U187" s="281"/>
      <x:c r="V187" s="281"/>
      <x:c r="W187" s="281"/>
      <x:c r="X187" s="281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281"/>
      <x:c r="B188" s="281"/>
      <x:c r="C188" s="281"/>
      <x:c r="D188" s="281"/>
      <x:c r="E188" s="281"/>
      <x:c r="F188" s="281"/>
      <x:c r="G188" s="281"/>
      <x:c r="H188" s="281"/>
      <x:c r="I188" s="281"/>
      <x:c r="J188" s="281"/>
      <x:c r="K188" s="281"/>
      <x:c r="L188" s="281"/>
      <x:c r="M188" s="281"/>
      <x:c r="N188" s="281"/>
      <x:c r="O188" s="281"/>
      <x:c r="P188" s="281"/>
      <x:c r="Q188" s="281"/>
      <x:c r="R188" s="281"/>
      <x:c r="S188" s="281"/>
      <x:c r="T188" s="281"/>
      <x:c r="U188" s="281"/>
      <x:c r="V188" s="281"/>
      <x:c r="W188" s="281"/>
      <x:c r="X188" s="281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281"/>
      <x:c r="B189" s="281"/>
      <x:c r="C189" s="281"/>
      <x:c r="D189" s="281"/>
      <x:c r="E189" s="281"/>
      <x:c r="F189" s="281"/>
      <x:c r="G189" s="281"/>
      <x:c r="H189" s="281"/>
      <x:c r="I189" s="281"/>
      <x:c r="J189" s="281"/>
      <x:c r="K189" s="281"/>
      <x:c r="L189" s="281"/>
      <x:c r="M189" s="281"/>
      <x:c r="N189" s="281"/>
      <x:c r="O189" s="281"/>
      <x:c r="P189" s="281"/>
      <x:c r="Q189" s="281"/>
      <x:c r="R189" s="281"/>
      <x:c r="S189" s="281"/>
      <x:c r="T189" s="281"/>
      <x:c r="U189" s="281"/>
      <x:c r="V189" s="281"/>
      <x:c r="W189" s="281"/>
      <x:c r="X189" s="281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281"/>
      <x:c r="B190" s="281"/>
      <x:c r="C190" s="281"/>
      <x:c r="D190" s="281"/>
      <x:c r="E190" s="281"/>
      <x:c r="F190" s="281"/>
      <x:c r="G190" s="281"/>
      <x:c r="H190" s="281"/>
      <x:c r="I190" s="281"/>
      <x:c r="J190" s="281"/>
      <x:c r="K190" s="281"/>
      <x:c r="L190" s="281"/>
      <x:c r="M190" s="281"/>
      <x:c r="N190" s="281"/>
      <x:c r="O190" s="281"/>
      <x:c r="P190" s="281"/>
      <x:c r="Q190" s="281"/>
      <x:c r="R190" s="281"/>
      <x:c r="S190" s="281"/>
      <x:c r="T190" s="281"/>
      <x:c r="U190" s="281"/>
      <x:c r="V190" s="281"/>
      <x:c r="W190" s="281"/>
      <x:c r="X190" s="281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281"/>
      <x:c r="B191" s="281"/>
      <x:c r="C191" s="281"/>
      <x:c r="D191" s="281"/>
      <x:c r="E191" s="281"/>
      <x:c r="F191" s="281"/>
      <x:c r="G191" s="281"/>
      <x:c r="H191" s="281"/>
      <x:c r="I191" s="281"/>
      <x:c r="J191" s="281"/>
      <x:c r="K191" s="281"/>
      <x:c r="L191" s="281"/>
      <x:c r="M191" s="281"/>
      <x:c r="N191" s="281"/>
      <x:c r="O191" s="281"/>
      <x:c r="P191" s="281"/>
      <x:c r="Q191" s="281"/>
      <x:c r="R191" s="281"/>
      <x:c r="S191" s="281"/>
      <x:c r="T191" s="281"/>
      <x:c r="U191" s="281"/>
      <x:c r="V191" s="281"/>
      <x:c r="W191" s="281"/>
      <x:c r="X191" s="281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281"/>
      <x:c r="B192" s="281"/>
      <x:c r="C192" s="281"/>
      <x:c r="D192" s="281"/>
      <x:c r="E192" s="281"/>
      <x:c r="F192" s="281"/>
      <x:c r="G192" s="281"/>
      <x:c r="H192" s="281"/>
      <x:c r="I192" s="281"/>
      <x:c r="J192" s="281"/>
      <x:c r="K192" s="281"/>
      <x:c r="L192" s="281"/>
      <x:c r="M192" s="281"/>
      <x:c r="N192" s="281"/>
      <x:c r="O192" s="281"/>
      <x:c r="P192" s="281"/>
      <x:c r="Q192" s="281"/>
      <x:c r="R192" s="281"/>
      <x:c r="S192" s="281"/>
      <x:c r="T192" s="281"/>
      <x:c r="U192" s="281"/>
      <x:c r="V192" s="281"/>
      <x:c r="W192" s="281"/>
      <x:c r="X192" s="281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281"/>
      <x:c r="B193" s="281"/>
      <x:c r="C193" s="281"/>
      <x:c r="D193" s="281"/>
      <x:c r="E193" s="281"/>
      <x:c r="F193" s="281"/>
      <x:c r="G193" s="281"/>
      <x:c r="H193" s="281"/>
      <x:c r="I193" s="281"/>
      <x:c r="J193" s="281"/>
      <x:c r="K193" s="281"/>
      <x:c r="L193" s="281"/>
      <x:c r="M193" s="281"/>
      <x:c r="N193" s="281"/>
      <x:c r="O193" s="281"/>
      <x:c r="P193" s="281"/>
      <x:c r="Q193" s="281"/>
      <x:c r="R193" s="281"/>
      <x:c r="S193" s="281"/>
      <x:c r="T193" s="281"/>
      <x:c r="U193" s="281"/>
      <x:c r="V193" s="281"/>
      <x:c r="W193" s="281"/>
      <x:c r="X193" s="281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281"/>
      <x:c r="B194" s="281"/>
      <x:c r="C194" s="281"/>
      <x:c r="D194" s="281"/>
      <x:c r="E194" s="281"/>
      <x:c r="F194" s="281"/>
      <x:c r="G194" s="281"/>
      <x:c r="H194" s="281"/>
      <x:c r="I194" s="281"/>
      <x:c r="J194" s="281"/>
      <x:c r="K194" s="281"/>
      <x:c r="L194" s="281"/>
      <x:c r="M194" s="281"/>
      <x:c r="N194" s="281"/>
      <x:c r="O194" s="281"/>
      <x:c r="P194" s="281"/>
      <x:c r="Q194" s="281"/>
      <x:c r="R194" s="281"/>
      <x:c r="S194" s="281"/>
      <x:c r="T194" s="281"/>
      <x:c r="U194" s="281"/>
      <x:c r="V194" s="281"/>
      <x:c r="W194" s="281"/>
      <x:c r="X194" s="281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281"/>
      <x:c r="B195" s="281"/>
      <x:c r="C195" s="281"/>
      <x:c r="D195" s="281"/>
      <x:c r="E195" s="281"/>
      <x:c r="F195" s="281"/>
      <x:c r="G195" s="281"/>
      <x:c r="H195" s="281"/>
      <x:c r="I195" s="281"/>
      <x:c r="J195" s="281"/>
      <x:c r="K195" s="281"/>
      <x:c r="L195" s="281"/>
      <x:c r="M195" s="281"/>
      <x:c r="N195" s="281"/>
      <x:c r="O195" s="281"/>
      <x:c r="P195" s="281"/>
      <x:c r="Q195" s="281"/>
      <x:c r="R195" s="281"/>
      <x:c r="S195" s="281"/>
      <x:c r="T195" s="281"/>
      <x:c r="U195" s="281"/>
      <x:c r="V195" s="281"/>
      <x:c r="W195" s="281"/>
      <x:c r="X195" s="281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281"/>
      <x:c r="B196" s="281"/>
      <x:c r="C196" s="281"/>
      <x:c r="D196" s="281"/>
      <x:c r="E196" s="281"/>
      <x:c r="F196" s="281"/>
      <x:c r="G196" s="281"/>
      <x:c r="H196" s="281"/>
      <x:c r="I196" s="281"/>
      <x:c r="J196" s="281"/>
      <x:c r="K196" s="281"/>
      <x:c r="L196" s="281"/>
      <x:c r="M196" s="281"/>
      <x:c r="N196" s="281"/>
      <x:c r="O196" s="281"/>
      <x:c r="P196" s="281"/>
      <x:c r="Q196" s="281"/>
      <x:c r="R196" s="281"/>
      <x:c r="S196" s="281"/>
      <x:c r="T196" s="281"/>
      <x:c r="U196" s="281"/>
      <x:c r="V196" s="281"/>
      <x:c r="W196" s="281"/>
      <x:c r="X196" s="281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281"/>
      <x:c r="B197" s="281"/>
      <x:c r="C197" s="281"/>
      <x:c r="D197" s="281"/>
      <x:c r="E197" s="281"/>
      <x:c r="F197" s="281"/>
      <x:c r="G197" s="281"/>
      <x:c r="H197" s="281"/>
      <x:c r="I197" s="281"/>
      <x:c r="J197" s="281"/>
      <x:c r="K197" s="281"/>
      <x:c r="L197" s="281"/>
      <x:c r="M197" s="281"/>
      <x:c r="N197" s="281"/>
      <x:c r="O197" s="281"/>
      <x:c r="P197" s="281"/>
      <x:c r="Q197" s="281"/>
      <x:c r="R197" s="281"/>
      <x:c r="S197" s="281"/>
      <x:c r="T197" s="281"/>
      <x:c r="U197" s="281"/>
      <x:c r="V197" s="281"/>
      <x:c r="W197" s="281"/>
      <x:c r="X197" s="281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281"/>
      <x:c r="B198" s="281"/>
      <x:c r="C198" s="281"/>
      <x:c r="D198" s="281"/>
      <x:c r="E198" s="281"/>
      <x:c r="F198" s="281"/>
      <x:c r="G198" s="281"/>
      <x:c r="H198" s="281"/>
      <x:c r="I198" s="281"/>
      <x:c r="J198" s="281"/>
      <x:c r="K198" s="281"/>
      <x:c r="L198" s="281"/>
      <x:c r="M198" s="281"/>
      <x:c r="N198" s="281"/>
      <x:c r="O198" s="281"/>
      <x:c r="P198" s="281"/>
      <x:c r="Q198" s="281"/>
      <x:c r="R198" s="281"/>
      <x:c r="S198" s="281"/>
      <x:c r="T198" s="281"/>
      <x:c r="U198" s="281"/>
      <x:c r="V198" s="281"/>
      <x:c r="W198" s="281"/>
      <x:c r="X198" s="281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281"/>
      <x:c r="B199" s="281"/>
      <x:c r="C199" s="281"/>
      <x:c r="D199" s="281"/>
      <x:c r="E199" s="281"/>
      <x:c r="F199" s="281"/>
      <x:c r="G199" s="281"/>
      <x:c r="H199" s="281"/>
      <x:c r="I199" s="281"/>
      <x:c r="J199" s="281"/>
      <x:c r="K199" s="281"/>
      <x:c r="L199" s="281"/>
      <x:c r="M199" s="281"/>
      <x:c r="N199" s="281"/>
      <x:c r="O199" s="281"/>
      <x:c r="P199" s="281"/>
      <x:c r="Q199" s="281"/>
      <x:c r="R199" s="281"/>
      <x:c r="S199" s="281"/>
      <x:c r="T199" s="281"/>
      <x:c r="U199" s="281"/>
      <x:c r="V199" s="281"/>
      <x:c r="W199" s="281"/>
      <x:c r="X199" s="281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281"/>
      <x:c r="B200" s="281"/>
      <x:c r="C200" s="281"/>
      <x:c r="D200" s="281"/>
      <x:c r="E200" s="281"/>
      <x:c r="F200" s="281"/>
      <x:c r="G200" s="281"/>
      <x:c r="H200" s="281"/>
      <x:c r="I200" s="281"/>
      <x:c r="J200" s="281"/>
      <x:c r="K200" s="281"/>
      <x:c r="L200" s="281"/>
      <x:c r="M200" s="281"/>
      <x:c r="N200" s="281"/>
      <x:c r="O200" s="281"/>
      <x:c r="P200" s="281"/>
      <x:c r="Q200" s="281"/>
      <x:c r="R200" s="281"/>
      <x:c r="S200" s="281"/>
      <x:c r="T200" s="281"/>
      <x:c r="U200" s="281"/>
      <x:c r="V200" s="281"/>
      <x:c r="W200" s="281"/>
      <x:c r="X200" s="281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G1"/>
    <x:mergeCell ref="A2:G2"/>
    <x:mergeCell ref="A13:G13"/>
    <x:mergeCell ref="A20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6" hidden="0" customWidth="1"/>
    <x:col min="5" max="5" width="14" hidden="0" customWidth="1"/>
    <x:col min="6" max="6" width="14" hidden="0" customWidth="1"/>
    <x:col min="4" max="4" width="16" hidden="0" customWidth="1"/>
    <x:col min="7" max="7" width="16" hidden="0" customWidth="1"/>
    <x:col min="8" max="8" width="12" hidden="0" customWidth="1"/>
  </x:cols>
  <x:sheetData>
    <x:row r="1" ht="30" customHeight="1">
      <x:c r="A1" s="412" t="str">
        <x:v>Gift Story — Dashboard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نظرة سريعة على المخزون، البوكسات، والتسعير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22" t="str">
        <x:v>Metric</x:v>
      </x:c>
      <x:c r="B4" s="423" t="str">
        <x:v>Value</x:v>
      </x:c>
      <x:c r="C4" s="424" t="str">
        <x:v>Notes</x:v>
      </x:c>
      <x:c r="D4" s="281"/>
      <x:c r="E4" s="422" t="str">
        <x:v>Current Assumptions</x:v>
      </x:c>
      <x:c r="F4" s="424" t="str">
        <x:v>Value</x:v>
      </x:c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  <x:c r="T4" s="281"/>
      <x:c r="U4" s="281"/>
      <x:c r="V4" s="281"/>
      <x:c r="W4" s="281"/>
      <x:c r="X4" s="281"/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323" t="str">
        <x:v>Products Available</x:v>
      </x:c>
      <x:c r="B5" s="324" t="n">
        <x:f>COUNTIF(Products!N5:N200,"Available")</x:f>
        <x:v>1</x:v>
      </x:c>
      <x:c r="C5" s="325" t="str">
        <x:v>Ready to use</x:v>
      </x:c>
      <x:c r="D5" s="281"/>
      <x:c r="E5" s="326" t="str">
        <x:v>Packaging Cost</x:v>
      </x:c>
      <x:c r="F5" s="327" t="n">
        <x:f>'Pricing Rules'!B5</x:f>
        <x:v>18</x:v>
      </x:c>
      <x:c r="G5" s="281"/>
      <x:c r="H5" s="281"/>
      <x:c r="I5" s="281"/>
      <x:c r="J5" s="281"/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323" t="str">
        <x:v>Products Reserved</x:v>
      </x:c>
      <x:c r="B6" s="324" t="n">
        <x:f>COUNTIF(Products!N5:N200,"Reserved")</x:f>
        <x:v>0</x:v>
      </x:c>
      <x:c r="C6" s="325" t="str">
        <x:v>Selected but not sold</x:v>
      </x:c>
      <x:c r="D6" s="281"/>
      <x:c r="E6" s="326" t="str">
        <x:v>Profit Markup</x:v>
      </x:c>
      <x:c r="F6" s="328" t="n">
        <x:f>'Pricing Rules'!B6</x:f>
        <x:v>0.5</x:v>
      </x:c>
      <x:c r="G6" s="281"/>
      <x:c r="H6" s="281"/>
      <x:c r="I6" s="281"/>
      <x:c r="J6" s="281"/>
      <x:c r="K6" s="281"/>
      <x:c r="L6" s="281"/>
      <x:c r="M6" s="281"/>
      <x:c r="N6" s="281"/>
      <x:c r="O6" s="281"/>
      <x:c r="P6" s="281"/>
      <x:c r="Q6" s="281"/>
      <x:c r="R6" s="281"/>
      <x:c r="S6" s="281"/>
      <x:c r="T6" s="281"/>
      <x:c r="U6" s="281"/>
      <x:c r="V6" s="281"/>
      <x:c r="W6" s="281"/>
      <x:c r="X6" s="281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323" t="str">
        <x:v>Products Needing Photo</x:v>
      </x:c>
      <x:c r="B7" s="324" t="n">
        <x:f>COUNTIF(Products!N5:N200,"Needs Photo")</x:f>
        <x:v>1</x:v>
      </x:c>
      <x:c r="C7" s="325" t="str">
        <x:v>Need client display images</x:v>
      </x:c>
      <x:c r="D7" s="281"/>
      <x:c r="E7" s="326" t="str">
        <x:v>Payment %</x:v>
      </x:c>
      <x:c r="F7" s="328" t="n">
        <x:f>'Pricing Rules'!B7</x:f>
        <x:v>0.07</x:v>
      </x:c>
      <x:c r="G7" s="281"/>
      <x:c r="H7" s="281"/>
      <x:c r="I7" s="281"/>
      <x:c r="J7" s="281"/>
      <x:c r="K7" s="281"/>
      <x:c r="L7" s="281"/>
      <x:c r="M7" s="281"/>
      <x:c r="N7" s="281"/>
      <x:c r="O7" s="281"/>
      <x:c r="P7" s="281"/>
      <x:c r="Q7" s="281"/>
      <x:c r="R7" s="281"/>
      <x:c r="S7" s="281"/>
      <x:c r="T7" s="281"/>
      <x:c r="U7" s="281"/>
      <x:c r="V7" s="281"/>
      <x:c r="W7" s="281"/>
      <x:c r="X7" s="281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323" t="str">
        <x:v>Total Inventory Cost</x:v>
      </x:c>
      <x:c r="B8" s="324" t="n">
        <x:f>SUMPRODUCT(Products!K5:K200,Products!M5:M200)</x:f>
        <x:v>120</x:v>
      </x:c>
      <x:c r="C8" s="325" t="str">
        <x:v>Based on landed cost × quantity available</x:v>
      </x:c>
      <x:c r="D8" s="281"/>
      <x:c r="E8" s="326" t="str">
        <x:v>Fixed Payment Fee</x:v>
      </x:c>
      <x:c r="F8" s="327" t="n">
        <x:f>'Pricing Rules'!B8</x:f>
        <x:v>1</x:v>
      </x:c>
      <x:c r="G8" s="281"/>
      <x:c r="H8" s="281"/>
      <x:c r="I8" s="281"/>
      <x:c r="J8" s="281"/>
      <x:c r="K8" s="281"/>
      <x:c r="L8" s="281"/>
      <x:c r="M8" s="281"/>
      <x:c r="N8" s="281"/>
      <x:c r="O8" s="281"/>
      <x:c r="P8" s="281"/>
      <x:c r="Q8" s="281"/>
      <x:c r="R8" s="281"/>
      <x:c r="S8" s="281"/>
      <x:c r="T8" s="281"/>
      <x:c r="U8" s="281"/>
      <x:c r="V8" s="281"/>
      <x:c r="W8" s="281"/>
      <x:c r="X8" s="281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323" t="str">
        <x:v>Live Boxes</x:v>
      </x:c>
      <x:c r="B9" s="329" t="n">
        <x:f>COUNTIF(Boxes!F5:F200,"Live")</x:f>
        <x:v>0</x:v>
      </x:c>
      <x:c r="C9" s="325" t="str">
        <x:v>Currently active</x:v>
      </x:c>
      <x:c r="D9" s="281"/>
      <x:c r="E9" s="330" t="str">
        <x:v>App Commission</x:v>
      </x:c>
      <x:c r="F9" s="331" t="n">
        <x:f>'Pricing Rules'!B9</x:f>
        <x:v>0.225</x:v>
      </x:c>
      <x:c r="G9" s="281"/>
      <x:c r="H9" s="281"/>
      <x:c r="I9" s="281"/>
      <x:c r="J9" s="281"/>
      <x:c r="K9" s="281"/>
      <x:c r="L9" s="281"/>
      <x:c r="M9" s="281"/>
      <x:c r="N9" s="281"/>
      <x:c r="O9" s="281"/>
      <x:c r="P9" s="281"/>
      <x:c r="Q9" s="281"/>
      <x:c r="R9" s="281"/>
      <x:c r="S9" s="281"/>
      <x:c r="T9" s="281"/>
      <x:c r="U9" s="281"/>
      <x:c r="V9" s="281"/>
      <x:c r="W9" s="281"/>
      <x:c r="X9" s="281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323" t="str">
        <x:v>Ready to Sell Boxes</x:v>
      </x:c>
      <x:c r="B10" s="329" t="n">
        <x:f>COUNTIF(Boxes!F5:F200,"Ready to Sell")</x:f>
        <x:v>0</x:v>
      </x:c>
      <x:c r="C10" s="325" t="str">
        <x:v>Approved but not live</x:v>
      </x:c>
      <x:c r="D10" s="281"/>
      <x:c r="E10" s="281"/>
      <x:c r="F10" s="281"/>
      <x:c r="G10" s="281"/>
      <x:c r="H10" s="281"/>
      <x:c r="I10" s="281"/>
      <x:c r="J10" s="281"/>
      <x:c r="K10" s="281"/>
      <x:c r="L10" s="281"/>
      <x:c r="M10" s="281"/>
      <x:c r="N10" s="281"/>
      <x:c r="O10" s="281"/>
      <x:c r="P10" s="281"/>
      <x:c r="Q10" s="281"/>
      <x:c r="R10" s="281"/>
      <x:c r="S10" s="281"/>
      <x:c r="T10" s="281"/>
      <x:c r="U10" s="281"/>
      <x:c r="V10" s="281"/>
      <x:c r="W10" s="281"/>
      <x:c r="X10" s="281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323" t="str">
        <x:v>Estimated Revenue from Live/Ready Boxes</x:v>
      </x:c>
      <x:c r="B11" s="329" t="n">
        <x:f>SUMIF(Boxes!F5:F200,"Live",Boxes!AI5:AI200)+SUMIF(Boxes!F5:F200,"Ready to Sell",Boxes!AI5:AI200)</x:f>
        <x:v>0</x:v>
      </x:c>
      <x:c r="C11" s="325" t="str">
        <x:v>Final approved prices</x:v>
      </x:c>
      <x:c r="D11" s="281"/>
      <x:c r="E11" s="281"/>
      <x:c r="F11" s="281"/>
      <x:c r="G11" s="281"/>
      <x:c r="H11" s="281"/>
      <x:c r="I11" s="281"/>
      <x:c r="J11" s="281"/>
      <x:c r="K11" s="281"/>
      <x:c r="L11" s="281"/>
      <x:c r="M11" s="281"/>
      <x:c r="N11" s="281"/>
      <x:c r="O11" s="281"/>
      <x:c r="P11" s="281"/>
      <x:c r="Q11" s="281"/>
      <x:c r="R11" s="281"/>
      <x:c r="S11" s="281"/>
      <x:c r="T11" s="281"/>
      <x:c r="U11" s="281"/>
      <x:c r="V11" s="281"/>
      <x:c r="W11" s="281"/>
      <x:c r="X11" s="281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332" t="str">
        <x:v>Estimated Profit from Live/Ready Boxes</x:v>
      </x:c>
      <x:c r="B12" s="333" t="n">
        <x:f>SUMIF(Boxes!F5:F200,"Live",Boxes!AJ5:AJ200)+SUMIF(Boxes!F5:F200,"Ready to Sell",Boxes!AJ5:AJ200)</x:f>
        <x:v>0</x:v>
      </x:c>
      <x:c r="C12" s="334" t="str">
        <x:v>After assumed fees</x:v>
      </x:c>
      <x:c r="D12" s="281"/>
      <x:c r="E12" s="281"/>
      <x:c r="F12" s="281"/>
      <x:c r="G12" s="281"/>
      <x:c r="H12" s="281"/>
      <x:c r="I12" s="281"/>
      <x:c r="J12" s="281"/>
      <x:c r="K12" s="281"/>
      <x:c r="L12" s="281"/>
      <x:c r="M12" s="281"/>
      <x:c r="N12" s="281"/>
      <x:c r="O12" s="281"/>
      <x:c r="P12" s="281"/>
      <x:c r="Q12" s="281"/>
      <x:c r="R12" s="281"/>
      <x:c r="S12" s="281"/>
      <x:c r="T12" s="281"/>
      <x:c r="U12" s="281"/>
      <x:c r="V12" s="281"/>
      <x:c r="W12" s="281"/>
      <x:c r="X12" s="281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281"/>
      <x:c r="B13" s="281"/>
      <x:c r="C13" s="281"/>
      <x:c r="D13" s="281"/>
      <x:c r="E13" s="281"/>
      <x:c r="F13" s="281"/>
      <x:c r="G13" s="281"/>
      <x:c r="H13" s="281"/>
      <x:c r="I13" s="281"/>
      <x:c r="J13" s="281"/>
      <x:c r="K13" s="281"/>
      <x:c r="L13" s="281"/>
      <x:c r="M13" s="281"/>
      <x:c r="N13" s="281"/>
      <x:c r="O13" s="281"/>
      <x:c r="P13" s="281"/>
      <x:c r="Q13" s="281"/>
      <x:c r="R13" s="281"/>
      <x:c r="S13" s="281"/>
      <x:c r="T13" s="281"/>
      <x:c r="U13" s="281"/>
      <x:c r="V13" s="281"/>
      <x:c r="W13" s="281"/>
      <x:c r="X13" s="281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281"/>
      <x:c r="B14" s="281"/>
      <x:c r="C14" s="281"/>
      <x:c r="D14" s="281"/>
      <x:c r="E14" s="281"/>
      <x:c r="F14" s="281"/>
      <x:c r="G14" s="281"/>
      <x:c r="H14" s="281"/>
      <x:c r="I14" s="281"/>
      <x:c r="J14" s="281"/>
      <x:c r="K14" s="281"/>
      <x:c r="L14" s="281"/>
      <x:c r="M14" s="281"/>
      <x:c r="N14" s="281"/>
      <x:c r="O14" s="281"/>
      <x:c r="P14" s="281"/>
      <x:c r="Q14" s="281"/>
      <x:c r="R14" s="281"/>
      <x:c r="S14" s="281"/>
      <x:c r="T14" s="281"/>
      <x:c r="U14" s="281"/>
      <x:c r="V14" s="281"/>
      <x:c r="W14" s="281"/>
      <x:c r="X14" s="281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 ht="24" customHeight="1">
      <x:c r="A15" s="422" t="str">
        <x:v>Box ID</x:v>
      </x:c>
      <x:c r="B15" s="423" t="str">
        <x:v>Box Name</x:v>
      </x:c>
      <x:c r="C15" s="423" t="str">
        <x:v>Status</x:v>
      </x:c>
      <x:c r="D15" s="423" t="str">
        <x:v>Channel</x:v>
      </x:c>
      <x:c r="E15" s="423" t="str">
        <x:v>Total Cost</x:v>
      </x:c>
      <x:c r="F15" s="423" t="str">
        <x:v>Final Price</x:v>
      </x:c>
      <x:c r="G15" s="423" t="str">
        <x:v>Profit After Fees</x:v>
      </x:c>
      <x:c r="H15" s="424" t="str">
        <x:v>Profit %</x:v>
      </x:c>
      <x:c r="I15" s="281"/>
      <x:c r="J15" s="281"/>
      <x:c r="K15" s="281"/>
      <x:c r="L15" s="281"/>
      <x:c r="M15" s="281"/>
      <x:c r="N15" s="281"/>
      <x:c r="O15" s="281"/>
      <x:c r="P15" s="281"/>
      <x:c r="Q15" s="281"/>
      <x:c r="R15" s="281"/>
      <x:c r="S15" s="281"/>
      <x:c r="T15" s="281"/>
      <x:c r="U15" s="281"/>
      <x:c r="V15" s="281"/>
      <x:c r="W15" s="281"/>
      <x:c r="X15" s="281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326" t="str">
        <x:f>Boxes!A5</x:f>
        <x:v>B-0001</x:v>
      </x:c>
      <x:c r="B16" s="335" t="str">
        <x:f>Boxes!B5</x:f>
        <x:v>Little Story Box 01</x:v>
      </x:c>
      <x:c r="C16" s="335" t="str">
        <x:f>Boxes!F5</x:f>
        <x:v>Draft</x:v>
      </x:c>
      <x:c r="D16" s="335" t="str">
        <x:f>Boxes!E5</x:f>
        <x:v>Salla/Zid</x:v>
      </x:c>
      <x:c r="E16" s="336" t="n">
        <x:f>Boxes!Y5</x:f>
        <x:v>138</x:v>
      </x:c>
      <x:c r="F16" s="336" t="n">
        <x:f>Boxes!AI5</x:f>
        <x:v>299</x:v>
      </x:c>
      <x:c r="G16" s="336" t="n">
        <x:f>Boxes!AJ5</x:f>
        <x:v>139.07</x:v>
      </x:c>
      <x:c r="H16" s="328" t="n">
        <x:f>Boxes!AK5</x:f>
        <x:v>1.0077536231884057</x:v>
      </x:c>
      <x:c r="I16" s="281"/>
      <x:c r="J16" s="281"/>
      <x:c r="K16" s="281"/>
      <x:c r="L16" s="281"/>
      <x:c r="M16" s="281"/>
      <x:c r="N16" s="281"/>
      <x:c r="O16" s="281"/>
      <x:c r="P16" s="281"/>
      <x:c r="Q16" s="281"/>
      <x:c r="R16" s="281"/>
      <x:c r="S16" s="281"/>
      <x:c r="T16" s="281"/>
      <x:c r="U16" s="281"/>
      <x:c r="V16" s="281"/>
      <x:c r="W16" s="281"/>
      <x:c r="X16" s="281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326" t="str">
        <x:f>IF(Boxes!A6="","",Boxes!A6)</x:f>
      </x:c>
      <x:c r="B17" s="335" t="str">
        <x:f>IF(Boxes!A6="","",Boxes!B6)</x:f>
      </x:c>
      <x:c r="C17" s="335" t="str">
        <x:f>IF(Boxes!A6="","",Boxes!F6)</x:f>
      </x:c>
      <x:c r="D17" s="335" t="str">
        <x:f>IF(Boxes!A6="","",Boxes!E6)</x:f>
      </x:c>
      <x:c r="E17" s="336" t="str">
        <x:f>IF(Boxes!A6="","",Boxes!Y6)</x:f>
      </x:c>
      <x:c r="F17" s="336" t="str">
        <x:f>IF(Boxes!A6="","",Boxes!AI6)</x:f>
      </x:c>
      <x:c r="G17" s="336" t="str">
        <x:f>IF(Boxes!A6="","",Boxes!AJ6)</x:f>
      </x:c>
      <x:c r="H17" s="328" t="str">
        <x:f>IF(Boxes!A6="","",Boxes!AK6)</x:f>
      </x:c>
      <x:c r="I17" s="281"/>
      <x:c r="J17" s="281"/>
      <x:c r="K17" s="281"/>
      <x:c r="L17" s="281"/>
      <x:c r="M17" s="281"/>
      <x:c r="N17" s="281"/>
      <x:c r="O17" s="281"/>
      <x:c r="P17" s="281"/>
      <x:c r="Q17" s="281"/>
      <x:c r="R17" s="281"/>
      <x:c r="S17" s="281"/>
      <x:c r="T17" s="281"/>
      <x:c r="U17" s="281"/>
      <x:c r="V17" s="281"/>
      <x:c r="W17" s="281"/>
      <x:c r="X17" s="281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326" t="str">
        <x:f>IF(Boxes!A7="","",Boxes!A7)</x:f>
      </x:c>
      <x:c r="B18" s="335" t="str">
        <x:f>IF(Boxes!A7="","",Boxes!B7)</x:f>
      </x:c>
      <x:c r="C18" s="335" t="str">
        <x:f>IF(Boxes!A7="","",Boxes!F7)</x:f>
      </x:c>
      <x:c r="D18" s="335" t="str">
        <x:f>IF(Boxes!A7="","",Boxes!E7)</x:f>
      </x:c>
      <x:c r="E18" s="336" t="str">
        <x:f>IF(Boxes!A7="","",Boxes!Y7)</x:f>
      </x:c>
      <x:c r="F18" s="336" t="str">
        <x:f>IF(Boxes!A7="","",Boxes!AI7)</x:f>
      </x:c>
      <x:c r="G18" s="336" t="str">
        <x:f>IF(Boxes!A7="","",Boxes!AJ7)</x:f>
      </x:c>
      <x:c r="H18" s="328" t="str">
        <x:f>IF(Boxes!A7="","",Boxes!AK7)</x:f>
      </x:c>
      <x:c r="I18" s="281"/>
      <x:c r="J18" s="281"/>
      <x:c r="K18" s="281"/>
      <x:c r="L18" s="281"/>
      <x:c r="M18" s="281"/>
      <x:c r="N18" s="281"/>
      <x:c r="O18" s="281"/>
      <x:c r="P18" s="281"/>
      <x:c r="Q18" s="281"/>
      <x:c r="R18" s="281"/>
      <x:c r="S18" s="281"/>
      <x:c r="T18" s="281"/>
      <x:c r="U18" s="281"/>
      <x:c r="V18" s="281"/>
      <x:c r="W18" s="281"/>
      <x:c r="X18" s="281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326" t="str">
        <x:f>IF(Boxes!A8="","",Boxes!A8)</x:f>
      </x:c>
      <x:c r="B19" s="335" t="str">
        <x:f>IF(Boxes!A8="","",Boxes!B8)</x:f>
      </x:c>
      <x:c r="C19" s="335" t="str">
        <x:f>IF(Boxes!A8="","",Boxes!F8)</x:f>
      </x:c>
      <x:c r="D19" s="335" t="str">
        <x:f>IF(Boxes!A8="","",Boxes!E8)</x:f>
      </x:c>
      <x:c r="E19" s="336" t="str">
        <x:f>IF(Boxes!A8="","",Boxes!Y8)</x:f>
      </x:c>
      <x:c r="F19" s="336" t="str">
        <x:f>IF(Boxes!A8="","",Boxes!AI8)</x:f>
      </x:c>
      <x:c r="G19" s="336" t="str">
        <x:f>IF(Boxes!A8="","",Boxes!AJ8)</x:f>
      </x:c>
      <x:c r="H19" s="328" t="str">
        <x:f>IF(Boxes!A8="","",Boxes!AK8)</x:f>
      </x:c>
      <x:c r="I19" s="281"/>
      <x:c r="J19" s="281"/>
      <x:c r="K19" s="281"/>
      <x:c r="L19" s="281"/>
      <x:c r="M19" s="281"/>
      <x:c r="N19" s="281"/>
      <x:c r="O19" s="281"/>
      <x:c r="P19" s="281"/>
      <x:c r="Q19" s="281"/>
      <x:c r="R19" s="281"/>
      <x:c r="S19" s="281"/>
      <x:c r="T19" s="281"/>
      <x:c r="U19" s="281"/>
      <x:c r="V19" s="281"/>
      <x:c r="W19" s="281"/>
      <x:c r="X19" s="281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326" t="str">
        <x:f>IF(Boxes!A9="","",Boxes!A9)</x:f>
      </x:c>
      <x:c r="B20" s="335" t="str">
        <x:f>IF(Boxes!A9="","",Boxes!B9)</x:f>
      </x:c>
      <x:c r="C20" s="335" t="str">
        <x:f>IF(Boxes!A9="","",Boxes!F9)</x:f>
      </x:c>
      <x:c r="D20" s="335" t="str">
        <x:f>IF(Boxes!A9="","",Boxes!E9)</x:f>
      </x:c>
      <x:c r="E20" s="336" t="str">
        <x:f>IF(Boxes!A9="","",Boxes!Y9)</x:f>
      </x:c>
      <x:c r="F20" s="336" t="str">
        <x:f>IF(Boxes!A9="","",Boxes!AI9)</x:f>
      </x:c>
      <x:c r="G20" s="336" t="str">
        <x:f>IF(Boxes!A9="","",Boxes!AJ9)</x:f>
      </x:c>
      <x:c r="H20" s="328" t="str">
        <x:f>IF(Boxes!A9="","",Boxes!AK9)</x:f>
      </x:c>
      <x:c r="I20" s="281"/>
      <x:c r="J20" s="281"/>
      <x:c r="K20" s="281"/>
      <x:c r="L20" s="281"/>
      <x:c r="M20" s="281"/>
      <x:c r="N20" s="281"/>
      <x:c r="O20" s="281"/>
      <x:c r="P20" s="281"/>
      <x:c r="Q20" s="281"/>
      <x:c r="R20" s="281"/>
      <x:c r="S20" s="281"/>
      <x:c r="T20" s="281"/>
      <x:c r="U20" s="281"/>
      <x:c r="V20" s="281"/>
      <x:c r="W20" s="281"/>
      <x:c r="X20" s="281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326" t="str">
        <x:f>IF(Boxes!A10="","",Boxes!A10)</x:f>
      </x:c>
      <x:c r="B21" s="335" t="str">
        <x:f>IF(Boxes!A10="","",Boxes!B10)</x:f>
      </x:c>
      <x:c r="C21" s="335" t="str">
        <x:f>IF(Boxes!A10="","",Boxes!F10)</x:f>
      </x:c>
      <x:c r="D21" s="335" t="str">
        <x:f>IF(Boxes!A10="","",Boxes!E10)</x:f>
      </x:c>
      <x:c r="E21" s="336" t="str">
        <x:f>IF(Boxes!A10="","",Boxes!Y10)</x:f>
      </x:c>
      <x:c r="F21" s="336" t="str">
        <x:f>IF(Boxes!A10="","",Boxes!AI10)</x:f>
      </x:c>
      <x:c r="G21" s="336" t="str">
        <x:f>IF(Boxes!A10="","",Boxes!AJ10)</x:f>
      </x:c>
      <x:c r="H21" s="328" t="str">
        <x:f>IF(Boxes!A10="","",Boxes!AK10)</x:f>
      </x:c>
      <x:c r="I21" s="281"/>
      <x:c r="J21" s="281"/>
      <x:c r="K21" s="281"/>
      <x:c r="L21" s="281"/>
      <x:c r="M21" s="281"/>
      <x:c r="N21" s="281"/>
      <x:c r="O21" s="281"/>
      <x:c r="P21" s="281"/>
      <x:c r="Q21" s="281"/>
      <x:c r="R21" s="281"/>
      <x:c r="S21" s="281"/>
      <x:c r="T21" s="281"/>
      <x:c r="U21" s="281"/>
      <x:c r="V21" s="281"/>
      <x:c r="W21" s="281"/>
      <x:c r="X21" s="281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326" t="str">
        <x:f>IF(Boxes!A11="","",Boxes!A11)</x:f>
      </x:c>
      <x:c r="B22" s="335" t="str">
        <x:f>IF(Boxes!A11="","",Boxes!B11)</x:f>
      </x:c>
      <x:c r="C22" s="335" t="str">
        <x:f>IF(Boxes!A11="","",Boxes!F11)</x:f>
      </x:c>
      <x:c r="D22" s="335" t="str">
        <x:f>IF(Boxes!A11="","",Boxes!E11)</x:f>
      </x:c>
      <x:c r="E22" s="336" t="str">
        <x:f>IF(Boxes!A11="","",Boxes!Y11)</x:f>
      </x:c>
      <x:c r="F22" s="336" t="str">
        <x:f>IF(Boxes!A11="","",Boxes!AI11)</x:f>
      </x:c>
      <x:c r="G22" s="336" t="str">
        <x:f>IF(Boxes!A11="","",Boxes!AJ11)</x:f>
      </x:c>
      <x:c r="H22" s="328" t="str">
        <x:f>IF(Boxes!A11="","",Boxes!AK11)</x:f>
      </x:c>
      <x:c r="I22" s="281"/>
      <x:c r="J22" s="281"/>
      <x:c r="K22" s="281"/>
      <x:c r="L22" s="281"/>
      <x:c r="M22" s="281"/>
      <x:c r="N22" s="281"/>
      <x:c r="O22" s="281"/>
      <x:c r="P22" s="281"/>
      <x:c r="Q22" s="281"/>
      <x:c r="R22" s="281"/>
      <x:c r="S22" s="281"/>
      <x:c r="T22" s="281"/>
      <x:c r="U22" s="281"/>
      <x:c r="V22" s="281"/>
      <x:c r="W22" s="281"/>
      <x:c r="X22" s="281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326" t="str">
        <x:f>IF(Boxes!A12="","",Boxes!A12)</x:f>
      </x:c>
      <x:c r="B23" s="335" t="str">
        <x:f>IF(Boxes!A12="","",Boxes!B12)</x:f>
      </x:c>
      <x:c r="C23" s="335" t="str">
        <x:f>IF(Boxes!A12="","",Boxes!F12)</x:f>
      </x:c>
      <x:c r="D23" s="335" t="str">
        <x:f>IF(Boxes!A12="","",Boxes!E12)</x:f>
      </x:c>
      <x:c r="E23" s="336" t="str">
        <x:f>IF(Boxes!A12="","",Boxes!Y12)</x:f>
      </x:c>
      <x:c r="F23" s="336" t="str">
        <x:f>IF(Boxes!A12="","",Boxes!AI12)</x:f>
      </x:c>
      <x:c r="G23" s="336" t="str">
        <x:f>IF(Boxes!A12="","",Boxes!AJ12)</x:f>
      </x:c>
      <x:c r="H23" s="328" t="str">
        <x:f>IF(Boxes!A12="","",Boxes!AK12)</x:f>
      </x:c>
      <x:c r="I23" s="281"/>
      <x:c r="J23" s="281"/>
      <x:c r="K23" s="281"/>
      <x:c r="L23" s="281"/>
      <x:c r="M23" s="281"/>
      <x:c r="N23" s="281"/>
      <x:c r="O23" s="281"/>
      <x:c r="P23" s="281"/>
      <x:c r="Q23" s="281"/>
      <x:c r="R23" s="281"/>
      <x:c r="S23" s="281"/>
      <x:c r="T23" s="281"/>
      <x:c r="U23" s="281"/>
      <x:c r="V23" s="281"/>
      <x:c r="W23" s="281"/>
      <x:c r="X23" s="281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326" t="str">
        <x:f>IF(Boxes!A13="","",Boxes!A13)</x:f>
      </x:c>
      <x:c r="B24" s="335" t="str">
        <x:f>IF(Boxes!A13="","",Boxes!B13)</x:f>
      </x:c>
      <x:c r="C24" s="335" t="str">
        <x:f>IF(Boxes!A13="","",Boxes!F13)</x:f>
      </x:c>
      <x:c r="D24" s="335" t="str">
        <x:f>IF(Boxes!A13="","",Boxes!E13)</x:f>
      </x:c>
      <x:c r="E24" s="336" t="str">
        <x:f>IF(Boxes!A13="","",Boxes!Y13)</x:f>
      </x:c>
      <x:c r="F24" s="336" t="str">
        <x:f>IF(Boxes!A13="","",Boxes!AI13)</x:f>
      </x:c>
      <x:c r="G24" s="336" t="str">
        <x:f>IF(Boxes!A13="","",Boxes!AJ13)</x:f>
      </x:c>
      <x:c r="H24" s="328" t="str">
        <x:f>IF(Boxes!A13="","",Boxes!AK13)</x:f>
      </x:c>
      <x:c r="I24" s="281"/>
      <x:c r="J24" s="281"/>
      <x:c r="K24" s="281"/>
      <x:c r="L24" s="281"/>
      <x:c r="M24" s="281"/>
      <x:c r="N24" s="281"/>
      <x:c r="O24" s="281"/>
      <x:c r="P24" s="281"/>
      <x:c r="Q24" s="281"/>
      <x:c r="R24" s="281"/>
      <x:c r="S24" s="281"/>
      <x:c r="T24" s="281"/>
      <x:c r="U24" s="281"/>
      <x:c r="V24" s="281"/>
      <x:c r="W24" s="281"/>
      <x:c r="X24" s="281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326" t="str">
        <x:f>IF(Boxes!A14="","",Boxes!A14)</x:f>
      </x:c>
      <x:c r="B25" s="335" t="str">
        <x:f>IF(Boxes!A14="","",Boxes!B14)</x:f>
      </x:c>
      <x:c r="C25" s="335" t="str">
        <x:f>IF(Boxes!A14="","",Boxes!F14)</x:f>
      </x:c>
      <x:c r="D25" s="335" t="str">
        <x:f>IF(Boxes!A14="","",Boxes!E14)</x:f>
      </x:c>
      <x:c r="E25" s="336" t="str">
        <x:f>IF(Boxes!A14="","",Boxes!Y14)</x:f>
      </x:c>
      <x:c r="F25" s="336" t="str">
        <x:f>IF(Boxes!A14="","",Boxes!AI14)</x:f>
      </x:c>
      <x:c r="G25" s="336" t="str">
        <x:f>IF(Boxes!A14="","",Boxes!AJ14)</x:f>
      </x:c>
      <x:c r="H25" s="328" t="str">
        <x:f>IF(Boxes!A14="","",Boxes!AK14)</x:f>
      </x:c>
      <x:c r="I25" s="281"/>
      <x:c r="J25" s="281"/>
      <x:c r="K25" s="281"/>
      <x:c r="L25" s="281"/>
      <x:c r="M25" s="281"/>
      <x:c r="N25" s="281"/>
      <x:c r="O25" s="281"/>
      <x:c r="P25" s="281"/>
      <x:c r="Q25" s="281"/>
      <x:c r="R25" s="281"/>
      <x:c r="S25" s="281"/>
      <x:c r="T25" s="281"/>
      <x:c r="U25" s="281"/>
      <x:c r="V25" s="281"/>
      <x:c r="W25" s="281"/>
      <x:c r="X25" s="281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326" t="str">
        <x:f>IF(Boxes!A15="","",Boxes!A15)</x:f>
      </x:c>
      <x:c r="B26" s="335" t="str">
        <x:f>IF(Boxes!A15="","",Boxes!B15)</x:f>
      </x:c>
      <x:c r="C26" s="335" t="str">
        <x:f>IF(Boxes!A15="","",Boxes!F15)</x:f>
      </x:c>
      <x:c r="D26" s="335" t="str">
        <x:f>IF(Boxes!A15="","",Boxes!E15)</x:f>
      </x:c>
      <x:c r="E26" s="336" t="str">
        <x:f>IF(Boxes!A15="","",Boxes!Y15)</x:f>
      </x:c>
      <x:c r="F26" s="336" t="str">
        <x:f>IF(Boxes!A15="","",Boxes!AI15)</x:f>
      </x:c>
      <x:c r="G26" s="336" t="str">
        <x:f>IF(Boxes!A15="","",Boxes!AJ15)</x:f>
      </x:c>
      <x:c r="H26" s="328" t="str">
        <x:f>IF(Boxes!A15="","",Boxes!AK15)</x:f>
      </x:c>
      <x:c r="I26" s="281"/>
      <x:c r="J26" s="281"/>
      <x:c r="K26" s="281"/>
      <x:c r="L26" s="281"/>
      <x:c r="M26" s="281"/>
      <x:c r="N26" s="281"/>
      <x:c r="O26" s="281"/>
      <x:c r="P26" s="281"/>
      <x:c r="Q26" s="281"/>
      <x:c r="R26" s="281"/>
      <x:c r="S26" s="281"/>
      <x:c r="T26" s="281"/>
      <x:c r="U26" s="281"/>
      <x:c r="V26" s="281"/>
      <x:c r="W26" s="281"/>
      <x:c r="X26" s="281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326" t="str">
        <x:f>IF(Boxes!A16="","",Boxes!A16)</x:f>
      </x:c>
      <x:c r="B27" s="335" t="str">
        <x:f>IF(Boxes!A16="","",Boxes!B16)</x:f>
      </x:c>
      <x:c r="C27" s="335" t="str">
        <x:f>IF(Boxes!A16="","",Boxes!F16)</x:f>
      </x:c>
      <x:c r="D27" s="335" t="str">
        <x:f>IF(Boxes!A16="","",Boxes!E16)</x:f>
      </x:c>
      <x:c r="E27" s="336" t="str">
        <x:f>IF(Boxes!A16="","",Boxes!Y16)</x:f>
      </x:c>
      <x:c r="F27" s="336" t="str">
        <x:f>IF(Boxes!A16="","",Boxes!AI16)</x:f>
      </x:c>
      <x:c r="G27" s="336" t="str">
        <x:f>IF(Boxes!A16="","",Boxes!AJ16)</x:f>
      </x:c>
      <x:c r="H27" s="328" t="str">
        <x:f>IF(Boxes!A16="","",Boxes!AK16)</x:f>
      </x:c>
      <x:c r="I27" s="281"/>
      <x:c r="J27" s="281"/>
      <x:c r="K27" s="281"/>
      <x:c r="L27" s="281"/>
      <x:c r="M27" s="281"/>
      <x:c r="N27" s="281"/>
      <x:c r="O27" s="281"/>
      <x:c r="P27" s="281"/>
      <x:c r="Q27" s="281"/>
      <x:c r="R27" s="281"/>
      <x:c r="S27" s="281"/>
      <x:c r="T27" s="281"/>
      <x:c r="U27" s="281"/>
      <x:c r="V27" s="281"/>
      <x:c r="W27" s="281"/>
      <x:c r="X27" s="281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326" t="str">
        <x:f>IF(Boxes!A17="","",Boxes!A17)</x:f>
      </x:c>
      <x:c r="B28" s="335" t="str">
        <x:f>IF(Boxes!A17="","",Boxes!B17)</x:f>
      </x:c>
      <x:c r="C28" s="335" t="str">
        <x:f>IF(Boxes!A17="","",Boxes!F17)</x:f>
      </x:c>
      <x:c r="D28" s="335" t="str">
        <x:f>IF(Boxes!A17="","",Boxes!E17)</x:f>
      </x:c>
      <x:c r="E28" s="336" t="str">
        <x:f>IF(Boxes!A17="","",Boxes!Y17)</x:f>
      </x:c>
      <x:c r="F28" s="336" t="str">
        <x:f>IF(Boxes!A17="","",Boxes!AI17)</x:f>
      </x:c>
      <x:c r="G28" s="336" t="str">
        <x:f>IF(Boxes!A17="","",Boxes!AJ17)</x:f>
      </x:c>
      <x:c r="H28" s="328" t="str">
        <x:f>IF(Boxes!A17="","",Boxes!AK17)</x:f>
      </x:c>
      <x:c r="I28" s="281"/>
      <x:c r="J28" s="281"/>
      <x:c r="K28" s="281"/>
      <x:c r="L28" s="281"/>
      <x:c r="M28" s="281"/>
      <x:c r="N28" s="281"/>
      <x:c r="O28" s="281"/>
      <x:c r="P28" s="281"/>
      <x:c r="Q28" s="281"/>
      <x:c r="R28" s="281"/>
      <x:c r="S28" s="281"/>
      <x:c r="T28" s="281"/>
      <x:c r="U28" s="281"/>
      <x:c r="V28" s="281"/>
      <x:c r="W28" s="281"/>
      <x:c r="X28" s="281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326" t="str">
        <x:f>IF(Boxes!A18="","",Boxes!A18)</x:f>
      </x:c>
      <x:c r="B29" s="335" t="str">
        <x:f>IF(Boxes!A18="","",Boxes!B18)</x:f>
      </x:c>
      <x:c r="C29" s="335" t="str">
        <x:f>IF(Boxes!A18="","",Boxes!F18)</x:f>
      </x:c>
      <x:c r="D29" s="335" t="str">
        <x:f>IF(Boxes!A18="","",Boxes!E18)</x:f>
      </x:c>
      <x:c r="E29" s="336" t="str">
        <x:f>IF(Boxes!A18="","",Boxes!Y18)</x:f>
      </x:c>
      <x:c r="F29" s="336" t="str">
        <x:f>IF(Boxes!A18="","",Boxes!AI18)</x:f>
      </x:c>
      <x:c r="G29" s="336" t="str">
        <x:f>IF(Boxes!A18="","",Boxes!AJ18)</x:f>
      </x:c>
      <x:c r="H29" s="328" t="str">
        <x:f>IF(Boxes!A18="","",Boxes!AK18)</x:f>
      </x:c>
      <x:c r="I29" s="281"/>
      <x:c r="J29" s="281"/>
      <x:c r="K29" s="281"/>
      <x:c r="L29" s="281"/>
      <x:c r="M29" s="281"/>
      <x:c r="N29" s="281"/>
      <x:c r="O29" s="281"/>
      <x:c r="P29" s="281"/>
      <x:c r="Q29" s="281"/>
      <x:c r="R29" s="281"/>
      <x:c r="S29" s="281"/>
      <x:c r="T29" s="281"/>
      <x:c r="U29" s="281"/>
      <x:c r="V29" s="281"/>
      <x:c r="W29" s="281"/>
      <x:c r="X29" s="281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326" t="str">
        <x:f>IF(Boxes!A19="","",Boxes!A19)</x:f>
      </x:c>
      <x:c r="B30" s="335" t="str">
        <x:f>IF(Boxes!A19="","",Boxes!B19)</x:f>
      </x:c>
      <x:c r="C30" s="335" t="str">
        <x:f>IF(Boxes!A19="","",Boxes!F19)</x:f>
      </x:c>
      <x:c r="D30" s="335" t="str">
        <x:f>IF(Boxes!A19="","",Boxes!E19)</x:f>
      </x:c>
      <x:c r="E30" s="336" t="str">
        <x:f>IF(Boxes!A19="","",Boxes!Y19)</x:f>
      </x:c>
      <x:c r="F30" s="336" t="str">
        <x:f>IF(Boxes!A19="","",Boxes!AI19)</x:f>
      </x:c>
      <x:c r="G30" s="336" t="str">
        <x:f>IF(Boxes!A19="","",Boxes!AJ19)</x:f>
      </x:c>
      <x:c r="H30" s="328" t="str">
        <x:f>IF(Boxes!A19="","",Boxes!AK19)</x:f>
      </x:c>
      <x:c r="I30" s="281"/>
      <x:c r="J30" s="281"/>
      <x:c r="K30" s="281"/>
      <x:c r="L30" s="281"/>
      <x:c r="M30" s="281"/>
      <x:c r="N30" s="281"/>
      <x:c r="O30" s="281"/>
      <x:c r="P30" s="281"/>
      <x:c r="Q30" s="281"/>
      <x:c r="R30" s="281"/>
      <x:c r="S30" s="281"/>
      <x:c r="T30" s="281"/>
      <x:c r="U30" s="281"/>
      <x:c r="V30" s="281"/>
      <x:c r="W30" s="281"/>
      <x:c r="X30" s="281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326" t="str">
        <x:f>IF(Boxes!A20="","",Boxes!A20)</x:f>
      </x:c>
      <x:c r="B31" s="335" t="str">
        <x:f>IF(Boxes!A20="","",Boxes!B20)</x:f>
      </x:c>
      <x:c r="C31" s="335" t="str">
        <x:f>IF(Boxes!A20="","",Boxes!F20)</x:f>
      </x:c>
      <x:c r="D31" s="335" t="str">
        <x:f>IF(Boxes!A20="","",Boxes!E20)</x:f>
      </x:c>
      <x:c r="E31" s="336" t="str">
        <x:f>IF(Boxes!A20="","",Boxes!Y20)</x:f>
      </x:c>
      <x:c r="F31" s="336" t="str">
        <x:f>IF(Boxes!A20="","",Boxes!AI20)</x:f>
      </x:c>
      <x:c r="G31" s="336" t="str">
        <x:f>IF(Boxes!A20="","",Boxes!AJ20)</x:f>
      </x:c>
      <x:c r="H31" s="328" t="str">
        <x:f>IF(Boxes!A20="","",Boxes!AK20)</x:f>
      </x:c>
      <x:c r="I31" s="281"/>
      <x:c r="J31" s="281"/>
      <x:c r="K31" s="281"/>
      <x:c r="L31" s="281"/>
      <x:c r="M31" s="281"/>
      <x:c r="N31" s="281"/>
      <x:c r="O31" s="281"/>
      <x:c r="P31" s="281"/>
      <x:c r="Q31" s="281"/>
      <x:c r="R31" s="281"/>
      <x:c r="S31" s="281"/>
      <x:c r="T31" s="281"/>
      <x:c r="U31" s="281"/>
      <x:c r="V31" s="281"/>
      <x:c r="W31" s="281"/>
      <x:c r="X31" s="281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326" t="str">
        <x:f>IF(Boxes!A21="","",Boxes!A21)</x:f>
      </x:c>
      <x:c r="B32" s="335" t="str">
        <x:f>IF(Boxes!A21="","",Boxes!B21)</x:f>
      </x:c>
      <x:c r="C32" s="335" t="str">
        <x:f>IF(Boxes!A21="","",Boxes!F21)</x:f>
      </x:c>
      <x:c r="D32" s="335" t="str">
        <x:f>IF(Boxes!A21="","",Boxes!E21)</x:f>
      </x:c>
      <x:c r="E32" s="336" t="str">
        <x:f>IF(Boxes!A21="","",Boxes!Y21)</x:f>
      </x:c>
      <x:c r="F32" s="336" t="str">
        <x:f>IF(Boxes!A21="","",Boxes!AI21)</x:f>
      </x:c>
      <x:c r="G32" s="336" t="str">
        <x:f>IF(Boxes!A21="","",Boxes!AJ21)</x:f>
      </x:c>
      <x:c r="H32" s="328" t="str">
        <x:f>IF(Boxes!A21="","",Boxes!AK21)</x:f>
      </x:c>
      <x:c r="I32" s="281"/>
      <x:c r="J32" s="281"/>
      <x:c r="K32" s="281"/>
      <x:c r="L32" s="281"/>
      <x:c r="M32" s="281"/>
      <x:c r="N32" s="281"/>
      <x:c r="O32" s="281"/>
      <x:c r="P32" s="281"/>
      <x:c r="Q32" s="281"/>
      <x:c r="R32" s="281"/>
      <x:c r="S32" s="281"/>
      <x:c r="T32" s="281"/>
      <x:c r="U32" s="281"/>
      <x:c r="V32" s="281"/>
      <x:c r="W32" s="281"/>
      <x:c r="X32" s="281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326" t="str">
        <x:f>IF(Boxes!A22="","",Boxes!A22)</x:f>
      </x:c>
      <x:c r="B33" s="335" t="str">
        <x:f>IF(Boxes!A22="","",Boxes!B22)</x:f>
      </x:c>
      <x:c r="C33" s="335" t="str">
        <x:f>IF(Boxes!A22="","",Boxes!F22)</x:f>
      </x:c>
      <x:c r="D33" s="335" t="str">
        <x:f>IF(Boxes!A22="","",Boxes!E22)</x:f>
      </x:c>
      <x:c r="E33" s="336" t="str">
        <x:f>IF(Boxes!A22="","",Boxes!Y22)</x:f>
      </x:c>
      <x:c r="F33" s="336" t="str">
        <x:f>IF(Boxes!A22="","",Boxes!AI22)</x:f>
      </x:c>
      <x:c r="G33" s="336" t="str">
        <x:f>IF(Boxes!A22="","",Boxes!AJ22)</x:f>
      </x:c>
      <x:c r="H33" s="328" t="str">
        <x:f>IF(Boxes!A22="","",Boxes!AK22)</x:f>
      </x:c>
      <x:c r="I33" s="281"/>
      <x:c r="J33" s="281"/>
      <x:c r="K33" s="281"/>
      <x:c r="L33" s="281"/>
      <x:c r="M33" s="281"/>
      <x:c r="N33" s="281"/>
      <x:c r="O33" s="281"/>
      <x:c r="P33" s="281"/>
      <x:c r="Q33" s="281"/>
      <x:c r="R33" s="281"/>
      <x:c r="S33" s="281"/>
      <x:c r="T33" s="281"/>
      <x:c r="U33" s="281"/>
      <x:c r="V33" s="281"/>
      <x:c r="W33" s="281"/>
      <x:c r="X33" s="281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326" t="str">
        <x:f>IF(Boxes!A23="","",Boxes!A23)</x:f>
      </x:c>
      <x:c r="B34" s="335" t="str">
        <x:f>IF(Boxes!A23="","",Boxes!B23)</x:f>
      </x:c>
      <x:c r="C34" s="335" t="str">
        <x:f>IF(Boxes!A23="","",Boxes!F23)</x:f>
      </x:c>
      <x:c r="D34" s="335" t="str">
        <x:f>IF(Boxes!A23="","",Boxes!E23)</x:f>
      </x:c>
      <x:c r="E34" s="336" t="str">
        <x:f>IF(Boxes!A23="","",Boxes!Y23)</x:f>
      </x:c>
      <x:c r="F34" s="336" t="str">
        <x:f>IF(Boxes!A23="","",Boxes!AI23)</x:f>
      </x:c>
      <x:c r="G34" s="336" t="str">
        <x:f>IF(Boxes!A23="","",Boxes!AJ23)</x:f>
      </x:c>
      <x:c r="H34" s="328" t="str">
        <x:f>IF(Boxes!A23="","",Boxes!AK23)</x:f>
      </x:c>
      <x:c r="I34" s="281"/>
      <x:c r="J34" s="281"/>
      <x:c r="K34" s="281"/>
      <x:c r="L34" s="281"/>
      <x:c r="M34" s="281"/>
      <x:c r="N34" s="281"/>
      <x:c r="O34" s="281"/>
      <x:c r="P34" s="281"/>
      <x:c r="Q34" s="281"/>
      <x:c r="R34" s="281"/>
      <x:c r="S34" s="281"/>
      <x:c r="T34" s="281"/>
      <x:c r="U34" s="281"/>
      <x:c r="V34" s="281"/>
      <x:c r="W34" s="281"/>
      <x:c r="X34" s="281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330" t="str">
        <x:f>IF(Boxes!A24="","",Boxes!A24)</x:f>
      </x:c>
      <x:c r="B35" s="337" t="str">
        <x:f>IF(Boxes!A24="","",Boxes!B24)</x:f>
      </x:c>
      <x:c r="C35" s="337" t="str">
        <x:f>IF(Boxes!A24="","",Boxes!F24)</x:f>
      </x:c>
      <x:c r="D35" s="337" t="str">
        <x:f>IF(Boxes!A24="","",Boxes!E24)</x:f>
      </x:c>
      <x:c r="E35" s="338" t="str">
        <x:f>IF(Boxes!A24="","",Boxes!Y24)</x:f>
      </x:c>
      <x:c r="F35" s="338" t="str">
        <x:f>IF(Boxes!A24="","",Boxes!AI24)</x:f>
      </x:c>
      <x:c r="G35" s="338" t="str">
        <x:f>IF(Boxes!A24="","",Boxes!AJ24)</x:f>
      </x:c>
      <x:c r="H35" s="331" t="str">
        <x:f>IF(Boxes!A24="","",Boxes!AK24)</x:f>
      </x:c>
      <x:c r="I35" s="281"/>
      <x:c r="J35" s="281"/>
      <x:c r="K35" s="281"/>
      <x:c r="L35" s="281"/>
      <x:c r="M35" s="281"/>
      <x:c r="N35" s="281"/>
      <x:c r="O35" s="281"/>
      <x:c r="P35" s="281"/>
      <x:c r="Q35" s="281"/>
      <x:c r="R35" s="281"/>
      <x:c r="S35" s="281"/>
      <x:c r="T35" s="281"/>
      <x:c r="U35" s="281"/>
      <x:c r="V35" s="281"/>
      <x:c r="W35" s="281"/>
      <x:c r="X35" s="281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281"/>
      <x:c r="B36" s="281"/>
      <x:c r="C36" s="281"/>
      <x:c r="D36" s="281"/>
      <x:c r="E36" s="281"/>
      <x:c r="F36" s="281"/>
      <x:c r="G36" s="281"/>
      <x:c r="H36" s="281"/>
      <x:c r="I36" s="281"/>
      <x:c r="J36" s="281"/>
      <x:c r="K36" s="281"/>
      <x:c r="L36" s="281"/>
      <x:c r="M36" s="281"/>
      <x:c r="N36" s="281"/>
      <x:c r="O36" s="281"/>
      <x:c r="P36" s="281"/>
      <x:c r="Q36" s="281"/>
      <x:c r="R36" s="281"/>
      <x:c r="S36" s="281"/>
      <x:c r="T36" s="281"/>
      <x:c r="U36" s="281"/>
      <x:c r="V36" s="281"/>
      <x:c r="W36" s="281"/>
      <x:c r="X36" s="281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281"/>
      <x:c r="B37" s="281"/>
      <x:c r="C37" s="281"/>
      <x:c r="D37" s="281"/>
      <x:c r="E37" s="281"/>
      <x:c r="F37" s="281"/>
      <x:c r="G37" s="281"/>
      <x:c r="H37" s="281"/>
      <x:c r="I37" s="281"/>
      <x:c r="J37" s="281"/>
      <x:c r="K37" s="281"/>
      <x:c r="L37" s="281"/>
      <x:c r="M37" s="281"/>
      <x:c r="N37" s="281"/>
      <x:c r="O37" s="281"/>
      <x:c r="P37" s="281"/>
      <x:c r="Q37" s="281"/>
      <x:c r="R37" s="281"/>
      <x:c r="S37" s="281"/>
      <x:c r="T37" s="281"/>
      <x:c r="U37" s="281"/>
      <x:c r="V37" s="281"/>
      <x:c r="W37" s="281"/>
      <x:c r="X37" s="281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281"/>
      <x:c r="B38" s="281"/>
      <x:c r="C38" s="281"/>
      <x:c r="D38" s="281"/>
      <x:c r="E38" s="281"/>
      <x:c r="F38" s="281"/>
      <x:c r="G38" s="281"/>
      <x:c r="H38" s="281"/>
      <x:c r="I38" s="281"/>
      <x:c r="J38" s="281"/>
      <x:c r="K38" s="281"/>
      <x:c r="L38" s="281"/>
      <x:c r="M38" s="281"/>
      <x:c r="N38" s="281"/>
      <x:c r="O38" s="281"/>
      <x:c r="P38" s="281"/>
      <x:c r="Q38" s="281"/>
      <x:c r="R38" s="281"/>
      <x:c r="S38" s="281"/>
      <x:c r="T38" s="281"/>
      <x:c r="U38" s="281"/>
      <x:c r="V38" s="281"/>
      <x:c r="W38" s="281"/>
      <x:c r="X38" s="281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281"/>
      <x:c r="B39" s="281"/>
      <x:c r="C39" s="281"/>
      <x:c r="D39" s="281"/>
      <x:c r="E39" s="281"/>
      <x:c r="F39" s="281"/>
      <x:c r="G39" s="281"/>
      <x:c r="H39" s="281"/>
      <x:c r="I39" s="281"/>
      <x:c r="J39" s="281"/>
      <x:c r="K39" s="281"/>
      <x:c r="L39" s="281"/>
      <x:c r="M39" s="281"/>
      <x:c r="N39" s="281"/>
      <x:c r="O39" s="281"/>
      <x:c r="P39" s="281"/>
      <x:c r="Q39" s="281"/>
      <x:c r="R39" s="281"/>
      <x:c r="S39" s="281"/>
      <x:c r="T39" s="281"/>
      <x:c r="U39" s="281"/>
      <x:c r="V39" s="281"/>
      <x:c r="W39" s="281"/>
      <x:c r="X39" s="281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281"/>
      <x:c r="B40" s="281"/>
      <x:c r="C40" s="281"/>
      <x:c r="D40" s="281"/>
      <x:c r="E40" s="281"/>
      <x:c r="F40" s="281"/>
      <x:c r="G40" s="281"/>
      <x:c r="H40" s="281"/>
      <x:c r="I40" s="281"/>
      <x:c r="J40" s="281"/>
      <x:c r="K40" s="281"/>
      <x:c r="L40" s="281"/>
      <x:c r="M40" s="281"/>
      <x:c r="N40" s="281"/>
      <x:c r="O40" s="281"/>
      <x:c r="P40" s="281"/>
      <x:c r="Q40" s="281"/>
      <x:c r="R40" s="281"/>
      <x:c r="S40" s="281"/>
      <x:c r="T40" s="281"/>
      <x:c r="U40" s="281"/>
      <x:c r="V40" s="281"/>
      <x:c r="W40" s="281"/>
      <x:c r="X40" s="281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281"/>
      <x:c r="B41" s="281"/>
      <x:c r="C41" s="281"/>
      <x:c r="D41" s="281"/>
      <x:c r="E41" s="281"/>
      <x:c r="F41" s="281"/>
      <x:c r="G41" s="281"/>
      <x:c r="H41" s="281"/>
      <x:c r="I41" s="281"/>
      <x:c r="J41" s="281"/>
      <x:c r="K41" s="281"/>
      <x:c r="L41" s="281"/>
      <x:c r="M41" s="281"/>
      <x:c r="N41" s="281"/>
      <x:c r="O41" s="281"/>
      <x:c r="P41" s="281"/>
      <x:c r="Q41" s="281"/>
      <x:c r="R41" s="281"/>
      <x:c r="S41" s="281"/>
      <x:c r="T41" s="281"/>
      <x:c r="U41" s="281"/>
      <x:c r="V41" s="281"/>
      <x:c r="W41" s="281"/>
      <x:c r="X41" s="281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281"/>
      <x:c r="B42" s="281"/>
      <x:c r="C42" s="281"/>
      <x:c r="D42" s="281"/>
      <x:c r="E42" s="281"/>
      <x:c r="F42" s="281"/>
      <x:c r="G42" s="281"/>
      <x:c r="H42" s="281"/>
      <x:c r="I42" s="281"/>
      <x:c r="J42" s="281"/>
      <x:c r="K42" s="281"/>
      <x:c r="L42" s="281"/>
      <x:c r="M42" s="281"/>
      <x:c r="N42" s="281"/>
      <x:c r="O42" s="281"/>
      <x:c r="P42" s="281"/>
      <x:c r="Q42" s="281"/>
      <x:c r="R42" s="281"/>
      <x:c r="S42" s="281"/>
      <x:c r="T42" s="281"/>
      <x:c r="U42" s="281"/>
      <x:c r="V42" s="281"/>
      <x:c r="W42" s="281"/>
      <x:c r="X42" s="281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281"/>
      <x:c r="B43" s="281"/>
      <x:c r="C43" s="281"/>
      <x:c r="D43" s="281"/>
      <x:c r="E43" s="281"/>
      <x:c r="F43" s="281"/>
      <x:c r="G43" s="281"/>
      <x:c r="H43" s="281"/>
      <x:c r="I43" s="281"/>
      <x:c r="J43" s="281"/>
      <x:c r="K43" s="281"/>
      <x:c r="L43" s="281"/>
      <x:c r="M43" s="281"/>
      <x:c r="N43" s="281"/>
      <x:c r="O43" s="281"/>
      <x:c r="P43" s="281"/>
      <x:c r="Q43" s="281"/>
      <x:c r="R43" s="281"/>
      <x:c r="S43" s="281"/>
      <x:c r="T43" s="281"/>
      <x:c r="U43" s="281"/>
      <x:c r="V43" s="281"/>
      <x:c r="W43" s="281"/>
      <x:c r="X43" s="281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281"/>
      <x:c r="B44" s="281"/>
      <x:c r="C44" s="281"/>
      <x:c r="D44" s="281"/>
      <x:c r="E44" s="281"/>
      <x:c r="F44" s="281"/>
      <x:c r="G44" s="281"/>
      <x:c r="H44" s="281"/>
      <x:c r="I44" s="281"/>
      <x:c r="J44" s="281"/>
      <x:c r="K44" s="281"/>
      <x:c r="L44" s="281"/>
      <x:c r="M44" s="281"/>
      <x:c r="N44" s="281"/>
      <x:c r="O44" s="281"/>
      <x:c r="P44" s="281"/>
      <x:c r="Q44" s="281"/>
      <x:c r="R44" s="281"/>
      <x:c r="S44" s="281"/>
      <x:c r="T44" s="281"/>
      <x:c r="U44" s="281"/>
      <x:c r="V44" s="281"/>
      <x:c r="W44" s="281"/>
      <x:c r="X44" s="281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281"/>
      <x:c r="B45" s="281"/>
      <x:c r="C45" s="281"/>
      <x:c r="D45" s="281"/>
      <x:c r="E45" s="281"/>
      <x:c r="F45" s="281"/>
      <x:c r="G45" s="281"/>
      <x:c r="H45" s="281"/>
      <x:c r="I45" s="281"/>
      <x:c r="J45" s="281"/>
      <x:c r="K45" s="281"/>
      <x:c r="L45" s="281"/>
      <x:c r="M45" s="281"/>
      <x:c r="N45" s="281"/>
      <x:c r="O45" s="281"/>
      <x:c r="P45" s="281"/>
      <x:c r="Q45" s="281"/>
      <x:c r="R45" s="281"/>
      <x:c r="S45" s="281"/>
      <x:c r="T45" s="281"/>
      <x:c r="U45" s="281"/>
      <x:c r="V45" s="281"/>
      <x:c r="W45" s="281"/>
      <x:c r="X45" s="281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281"/>
      <x:c r="B46" s="281"/>
      <x:c r="C46" s="281"/>
      <x:c r="D46" s="281"/>
      <x:c r="E46" s="281"/>
      <x:c r="F46" s="281"/>
      <x:c r="G46" s="281"/>
      <x:c r="H46" s="281"/>
      <x:c r="I46" s="281"/>
      <x:c r="J46" s="281"/>
      <x:c r="K46" s="281"/>
      <x:c r="L46" s="281"/>
      <x:c r="M46" s="281"/>
      <x:c r="N46" s="281"/>
      <x:c r="O46" s="281"/>
      <x:c r="P46" s="281"/>
      <x:c r="Q46" s="281"/>
      <x:c r="R46" s="281"/>
      <x:c r="S46" s="281"/>
      <x:c r="T46" s="281"/>
      <x:c r="U46" s="281"/>
      <x:c r="V46" s="281"/>
      <x:c r="W46" s="281"/>
      <x:c r="X46" s="281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281"/>
      <x:c r="B47" s="281"/>
      <x:c r="C47" s="281"/>
      <x:c r="D47" s="281"/>
      <x:c r="E47" s="281"/>
      <x:c r="F47" s="281"/>
      <x:c r="G47" s="281"/>
      <x:c r="H47" s="281"/>
      <x:c r="I47" s="281"/>
      <x:c r="J47" s="281"/>
      <x:c r="K47" s="281"/>
      <x:c r="L47" s="281"/>
      <x:c r="M47" s="281"/>
      <x:c r="N47" s="281"/>
      <x:c r="O47" s="281"/>
      <x:c r="P47" s="281"/>
      <x:c r="Q47" s="281"/>
      <x:c r="R47" s="281"/>
      <x:c r="S47" s="281"/>
      <x:c r="T47" s="281"/>
      <x:c r="U47" s="281"/>
      <x:c r="V47" s="281"/>
      <x:c r="W47" s="281"/>
      <x:c r="X47" s="281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281"/>
      <x:c r="B48" s="281"/>
      <x:c r="C48" s="281"/>
      <x:c r="D48" s="281"/>
      <x:c r="E48" s="281"/>
      <x:c r="F48" s="281"/>
      <x:c r="G48" s="281"/>
      <x:c r="H48" s="281"/>
      <x:c r="I48" s="281"/>
      <x:c r="J48" s="281"/>
      <x:c r="K48" s="281"/>
      <x:c r="L48" s="281"/>
      <x:c r="M48" s="281"/>
      <x:c r="N48" s="281"/>
      <x:c r="O48" s="281"/>
      <x:c r="P48" s="281"/>
      <x:c r="Q48" s="281"/>
      <x:c r="R48" s="281"/>
      <x:c r="S48" s="281"/>
      <x:c r="T48" s="281"/>
      <x:c r="U48" s="281"/>
      <x:c r="V48" s="281"/>
      <x:c r="W48" s="281"/>
      <x:c r="X48" s="281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281"/>
      <x:c r="B49" s="281"/>
      <x:c r="C49" s="281"/>
      <x:c r="D49" s="281"/>
      <x:c r="E49" s="281"/>
      <x:c r="F49" s="281"/>
      <x:c r="G49" s="281"/>
      <x:c r="H49" s="281"/>
      <x:c r="I49" s="281"/>
      <x:c r="J49" s="281"/>
      <x:c r="K49" s="281"/>
      <x:c r="L49" s="281"/>
      <x:c r="M49" s="281"/>
      <x:c r="N49" s="281"/>
      <x:c r="O49" s="281"/>
      <x:c r="P49" s="281"/>
      <x:c r="Q49" s="281"/>
      <x:c r="R49" s="281"/>
      <x:c r="S49" s="281"/>
      <x:c r="T49" s="281"/>
      <x:c r="U49" s="281"/>
      <x:c r="V49" s="281"/>
      <x:c r="W49" s="281"/>
      <x:c r="X49" s="281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281"/>
      <x:c r="B50" s="281"/>
      <x:c r="C50" s="281"/>
      <x:c r="D50" s="281"/>
      <x:c r="E50" s="281"/>
      <x:c r="F50" s="281"/>
      <x:c r="G50" s="281"/>
      <x:c r="H50" s="281"/>
      <x:c r="I50" s="281"/>
      <x:c r="J50" s="281"/>
      <x:c r="K50" s="281"/>
      <x:c r="L50" s="281"/>
      <x:c r="M50" s="281"/>
      <x:c r="N50" s="281"/>
      <x:c r="O50" s="281"/>
      <x:c r="P50" s="281"/>
      <x:c r="Q50" s="281"/>
      <x:c r="R50" s="281"/>
      <x:c r="S50" s="281"/>
      <x:c r="T50" s="281"/>
      <x:c r="U50" s="281"/>
      <x:c r="V50" s="281"/>
      <x:c r="W50" s="281"/>
      <x:c r="X50" s="281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281"/>
      <x:c r="B51" s="281"/>
      <x:c r="C51" s="281"/>
      <x:c r="D51" s="281"/>
      <x:c r="E51" s="281"/>
      <x:c r="F51" s="281"/>
      <x:c r="G51" s="281"/>
      <x:c r="H51" s="281"/>
      <x:c r="I51" s="281"/>
      <x:c r="J51" s="281"/>
      <x:c r="K51" s="281"/>
      <x:c r="L51" s="281"/>
      <x:c r="M51" s="281"/>
      <x:c r="N51" s="281"/>
      <x:c r="O51" s="281"/>
      <x:c r="P51" s="281"/>
      <x:c r="Q51" s="281"/>
      <x:c r="R51" s="281"/>
      <x:c r="S51" s="281"/>
      <x:c r="T51" s="281"/>
      <x:c r="U51" s="281"/>
      <x:c r="V51" s="281"/>
      <x:c r="W51" s="281"/>
      <x:c r="X51" s="281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281"/>
      <x:c r="B52" s="281"/>
      <x:c r="C52" s="281"/>
      <x:c r="D52" s="281"/>
      <x:c r="E52" s="281"/>
      <x:c r="F52" s="281"/>
      <x:c r="G52" s="281"/>
      <x:c r="H52" s="281"/>
      <x:c r="I52" s="281"/>
      <x:c r="J52" s="281"/>
      <x:c r="K52" s="281"/>
      <x:c r="L52" s="281"/>
      <x:c r="M52" s="281"/>
      <x:c r="N52" s="281"/>
      <x:c r="O52" s="281"/>
      <x:c r="P52" s="281"/>
      <x:c r="Q52" s="281"/>
      <x:c r="R52" s="281"/>
      <x:c r="S52" s="281"/>
      <x:c r="T52" s="281"/>
      <x:c r="U52" s="281"/>
      <x:c r="V52" s="281"/>
      <x:c r="W52" s="281"/>
      <x:c r="X52" s="281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281"/>
      <x:c r="B53" s="281"/>
      <x:c r="C53" s="281"/>
      <x:c r="D53" s="281"/>
      <x:c r="E53" s="281"/>
      <x:c r="F53" s="281"/>
      <x:c r="G53" s="281"/>
      <x:c r="H53" s="281"/>
      <x:c r="I53" s="281"/>
      <x:c r="J53" s="281"/>
      <x:c r="K53" s="281"/>
      <x:c r="L53" s="281"/>
      <x:c r="M53" s="281"/>
      <x:c r="N53" s="281"/>
      <x:c r="O53" s="281"/>
      <x:c r="P53" s="281"/>
      <x:c r="Q53" s="281"/>
      <x:c r="R53" s="281"/>
      <x:c r="S53" s="281"/>
      <x:c r="T53" s="281"/>
      <x:c r="U53" s="281"/>
      <x:c r="V53" s="281"/>
      <x:c r="W53" s="281"/>
      <x:c r="X53" s="281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281"/>
      <x:c r="B54" s="281"/>
      <x:c r="C54" s="281"/>
      <x:c r="D54" s="281"/>
      <x:c r="E54" s="281"/>
      <x:c r="F54" s="281"/>
      <x:c r="G54" s="281"/>
      <x:c r="H54" s="281"/>
      <x:c r="I54" s="281"/>
      <x:c r="J54" s="281"/>
      <x:c r="K54" s="281"/>
      <x:c r="L54" s="281"/>
      <x:c r="M54" s="281"/>
      <x:c r="N54" s="281"/>
      <x:c r="O54" s="281"/>
      <x:c r="P54" s="281"/>
      <x:c r="Q54" s="281"/>
      <x:c r="R54" s="281"/>
      <x:c r="S54" s="281"/>
      <x:c r="T54" s="281"/>
      <x:c r="U54" s="281"/>
      <x:c r="V54" s="281"/>
      <x:c r="W54" s="281"/>
      <x:c r="X54" s="281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281"/>
      <x:c r="B55" s="281"/>
      <x:c r="C55" s="281"/>
      <x:c r="D55" s="281"/>
      <x:c r="E55" s="281"/>
      <x:c r="F55" s="281"/>
      <x:c r="G55" s="281"/>
      <x:c r="H55" s="281"/>
      <x:c r="I55" s="281"/>
      <x:c r="J55" s="281"/>
      <x:c r="K55" s="281"/>
      <x:c r="L55" s="281"/>
      <x:c r="M55" s="281"/>
      <x:c r="N55" s="281"/>
      <x:c r="O55" s="281"/>
      <x:c r="P55" s="281"/>
      <x:c r="Q55" s="281"/>
      <x:c r="R55" s="281"/>
      <x:c r="S55" s="281"/>
      <x:c r="T55" s="281"/>
      <x:c r="U55" s="281"/>
      <x:c r="V55" s="281"/>
      <x:c r="W55" s="281"/>
      <x:c r="X55" s="281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281"/>
      <x:c r="B56" s="281"/>
      <x:c r="C56" s="281"/>
      <x:c r="D56" s="281"/>
      <x:c r="E56" s="281"/>
      <x:c r="F56" s="281"/>
      <x:c r="G56" s="281"/>
      <x:c r="H56" s="281"/>
      <x:c r="I56" s="281"/>
      <x:c r="J56" s="281"/>
      <x:c r="K56" s="281"/>
      <x:c r="L56" s="281"/>
      <x:c r="M56" s="281"/>
      <x:c r="N56" s="281"/>
      <x:c r="O56" s="281"/>
      <x:c r="P56" s="281"/>
      <x:c r="Q56" s="281"/>
      <x:c r="R56" s="281"/>
      <x:c r="S56" s="281"/>
      <x:c r="T56" s="281"/>
      <x:c r="U56" s="281"/>
      <x:c r="V56" s="281"/>
      <x:c r="W56" s="281"/>
      <x:c r="X56" s="281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281"/>
      <x:c r="B57" s="281"/>
      <x:c r="C57" s="281"/>
      <x:c r="D57" s="281"/>
      <x:c r="E57" s="281"/>
      <x:c r="F57" s="281"/>
      <x:c r="G57" s="281"/>
      <x:c r="H57" s="281"/>
      <x:c r="I57" s="281"/>
      <x:c r="J57" s="281"/>
      <x:c r="K57" s="281"/>
      <x:c r="L57" s="281"/>
      <x:c r="M57" s="281"/>
      <x:c r="N57" s="281"/>
      <x:c r="O57" s="281"/>
      <x:c r="P57" s="281"/>
      <x:c r="Q57" s="281"/>
      <x:c r="R57" s="281"/>
      <x:c r="S57" s="281"/>
      <x:c r="T57" s="281"/>
      <x:c r="U57" s="281"/>
      <x:c r="V57" s="281"/>
      <x:c r="W57" s="281"/>
      <x:c r="X57" s="281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281"/>
      <x:c r="B58" s="281"/>
      <x:c r="C58" s="281"/>
      <x:c r="D58" s="281"/>
      <x:c r="E58" s="281"/>
      <x:c r="F58" s="281"/>
      <x:c r="G58" s="281"/>
      <x:c r="H58" s="281"/>
      <x:c r="I58" s="281"/>
      <x:c r="J58" s="281"/>
      <x:c r="K58" s="281"/>
      <x:c r="L58" s="281"/>
      <x:c r="M58" s="281"/>
      <x:c r="N58" s="281"/>
      <x:c r="O58" s="281"/>
      <x:c r="P58" s="281"/>
      <x:c r="Q58" s="281"/>
      <x:c r="R58" s="281"/>
      <x:c r="S58" s="281"/>
      <x:c r="T58" s="281"/>
      <x:c r="U58" s="281"/>
      <x:c r="V58" s="281"/>
      <x:c r="W58" s="281"/>
      <x:c r="X58" s="281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281"/>
      <x:c r="B59" s="281"/>
      <x:c r="C59" s="281"/>
      <x:c r="D59" s="281"/>
      <x:c r="E59" s="281"/>
      <x:c r="F59" s="281"/>
      <x:c r="G59" s="281"/>
      <x:c r="H59" s="281"/>
      <x:c r="I59" s="281"/>
      <x:c r="J59" s="281"/>
      <x:c r="K59" s="281"/>
      <x:c r="L59" s="281"/>
      <x:c r="M59" s="281"/>
      <x:c r="N59" s="281"/>
      <x:c r="O59" s="281"/>
      <x:c r="P59" s="281"/>
      <x:c r="Q59" s="281"/>
      <x:c r="R59" s="281"/>
      <x:c r="S59" s="281"/>
      <x:c r="T59" s="281"/>
      <x:c r="U59" s="281"/>
      <x:c r="V59" s="281"/>
      <x:c r="W59" s="281"/>
      <x:c r="X59" s="281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281"/>
      <x:c r="B60" s="281"/>
      <x:c r="C60" s="281"/>
      <x:c r="D60" s="281"/>
      <x:c r="E60" s="281"/>
      <x:c r="F60" s="281"/>
      <x:c r="G60" s="281"/>
      <x:c r="H60" s="281"/>
      <x:c r="I60" s="281"/>
      <x:c r="J60" s="281"/>
      <x:c r="K60" s="281"/>
      <x:c r="L60" s="281"/>
      <x:c r="M60" s="281"/>
      <x:c r="N60" s="281"/>
      <x:c r="O60" s="281"/>
      <x:c r="P60" s="281"/>
      <x:c r="Q60" s="281"/>
      <x:c r="R60" s="281"/>
      <x:c r="S60" s="281"/>
      <x:c r="T60" s="281"/>
      <x:c r="U60" s="281"/>
      <x:c r="V60" s="281"/>
      <x:c r="W60" s="281"/>
      <x:c r="X60" s="281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281"/>
      <x:c r="B61" s="281"/>
      <x:c r="C61" s="281"/>
      <x:c r="D61" s="281"/>
      <x:c r="E61" s="281"/>
      <x:c r="F61" s="281"/>
      <x:c r="G61" s="281"/>
      <x:c r="H61" s="281"/>
      <x:c r="I61" s="281"/>
      <x:c r="J61" s="281"/>
      <x:c r="K61" s="281"/>
      <x:c r="L61" s="281"/>
      <x:c r="M61" s="281"/>
      <x:c r="N61" s="281"/>
      <x:c r="O61" s="281"/>
      <x:c r="P61" s="281"/>
      <x:c r="Q61" s="281"/>
      <x:c r="R61" s="281"/>
      <x:c r="S61" s="281"/>
      <x:c r="T61" s="281"/>
      <x:c r="U61" s="281"/>
      <x:c r="V61" s="281"/>
      <x:c r="W61" s="281"/>
      <x:c r="X61" s="281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281"/>
      <x:c r="B62" s="281"/>
      <x:c r="C62" s="281"/>
      <x:c r="D62" s="281"/>
      <x:c r="E62" s="281"/>
      <x:c r="F62" s="281"/>
      <x:c r="G62" s="281"/>
      <x:c r="H62" s="281"/>
      <x:c r="I62" s="281"/>
      <x:c r="J62" s="281"/>
      <x:c r="K62" s="281"/>
      <x:c r="L62" s="281"/>
      <x:c r="M62" s="281"/>
      <x:c r="N62" s="281"/>
      <x:c r="O62" s="281"/>
      <x:c r="P62" s="281"/>
      <x:c r="Q62" s="281"/>
      <x:c r="R62" s="281"/>
      <x:c r="S62" s="281"/>
      <x:c r="T62" s="281"/>
      <x:c r="U62" s="281"/>
      <x:c r="V62" s="281"/>
      <x:c r="W62" s="281"/>
      <x:c r="X62" s="281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281"/>
      <x:c r="B63" s="281"/>
      <x:c r="C63" s="281"/>
      <x:c r="D63" s="281"/>
      <x:c r="E63" s="281"/>
      <x:c r="F63" s="281"/>
      <x:c r="G63" s="281"/>
      <x:c r="H63" s="281"/>
      <x:c r="I63" s="281"/>
      <x:c r="J63" s="281"/>
      <x:c r="K63" s="281"/>
      <x:c r="L63" s="281"/>
      <x:c r="M63" s="281"/>
      <x:c r="N63" s="281"/>
      <x:c r="O63" s="281"/>
      <x:c r="P63" s="281"/>
      <x:c r="Q63" s="281"/>
      <x:c r="R63" s="281"/>
      <x:c r="S63" s="281"/>
      <x:c r="T63" s="281"/>
      <x:c r="U63" s="281"/>
      <x:c r="V63" s="281"/>
      <x:c r="W63" s="281"/>
      <x:c r="X63" s="281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281"/>
      <x:c r="B64" s="281"/>
      <x:c r="C64" s="281"/>
      <x:c r="D64" s="281"/>
      <x:c r="E64" s="281"/>
      <x:c r="F64" s="281"/>
      <x:c r="G64" s="281"/>
      <x:c r="H64" s="281"/>
      <x:c r="I64" s="281"/>
      <x:c r="J64" s="281"/>
      <x:c r="K64" s="281"/>
      <x:c r="L64" s="281"/>
      <x:c r="M64" s="281"/>
      <x:c r="N64" s="281"/>
      <x:c r="O64" s="281"/>
      <x:c r="P64" s="281"/>
      <x:c r="Q64" s="281"/>
      <x:c r="R64" s="281"/>
      <x:c r="S64" s="281"/>
      <x:c r="T64" s="281"/>
      <x:c r="U64" s="281"/>
      <x:c r="V64" s="281"/>
      <x:c r="W64" s="281"/>
      <x:c r="X64" s="281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281"/>
      <x:c r="B65" s="281"/>
      <x:c r="C65" s="281"/>
      <x:c r="D65" s="281"/>
      <x:c r="E65" s="281"/>
      <x:c r="F65" s="281"/>
      <x:c r="G65" s="281"/>
      <x:c r="H65" s="281"/>
      <x:c r="I65" s="281"/>
      <x:c r="J65" s="281"/>
      <x:c r="K65" s="281"/>
      <x:c r="L65" s="281"/>
      <x:c r="M65" s="281"/>
      <x:c r="N65" s="281"/>
      <x:c r="O65" s="281"/>
      <x:c r="P65" s="281"/>
      <x:c r="Q65" s="281"/>
      <x:c r="R65" s="281"/>
      <x:c r="S65" s="281"/>
      <x:c r="T65" s="281"/>
      <x:c r="U65" s="281"/>
      <x:c r="V65" s="281"/>
      <x:c r="W65" s="281"/>
      <x:c r="X65" s="281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281"/>
      <x:c r="B66" s="281"/>
      <x:c r="C66" s="281"/>
      <x:c r="D66" s="281"/>
      <x:c r="E66" s="281"/>
      <x:c r="F66" s="281"/>
      <x:c r="G66" s="281"/>
      <x:c r="H66" s="281"/>
      <x:c r="I66" s="281"/>
      <x:c r="J66" s="281"/>
      <x:c r="K66" s="281"/>
      <x:c r="L66" s="281"/>
      <x:c r="M66" s="281"/>
      <x:c r="N66" s="281"/>
      <x:c r="O66" s="281"/>
      <x:c r="P66" s="281"/>
      <x:c r="Q66" s="281"/>
      <x:c r="R66" s="281"/>
      <x:c r="S66" s="281"/>
      <x:c r="T66" s="281"/>
      <x:c r="U66" s="281"/>
      <x:c r="V66" s="281"/>
      <x:c r="W66" s="281"/>
      <x:c r="X66" s="281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281"/>
      <x:c r="B67" s="281"/>
      <x:c r="C67" s="281"/>
      <x:c r="D67" s="281"/>
      <x:c r="E67" s="281"/>
      <x:c r="F67" s="281"/>
      <x:c r="G67" s="281"/>
      <x:c r="H67" s="281"/>
      <x:c r="I67" s="281"/>
      <x:c r="J67" s="281"/>
      <x:c r="K67" s="281"/>
      <x:c r="L67" s="281"/>
      <x:c r="M67" s="281"/>
      <x:c r="N67" s="281"/>
      <x:c r="O67" s="281"/>
      <x:c r="P67" s="281"/>
      <x:c r="Q67" s="281"/>
      <x:c r="R67" s="281"/>
      <x:c r="S67" s="281"/>
      <x:c r="T67" s="281"/>
      <x:c r="U67" s="281"/>
      <x:c r="V67" s="281"/>
      <x:c r="W67" s="281"/>
      <x:c r="X67" s="281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281"/>
      <x:c r="B68" s="281"/>
      <x:c r="C68" s="281"/>
      <x:c r="D68" s="281"/>
      <x:c r="E68" s="281"/>
      <x:c r="F68" s="281"/>
      <x:c r="G68" s="281"/>
      <x:c r="H68" s="281"/>
      <x:c r="I68" s="281"/>
      <x:c r="J68" s="281"/>
      <x:c r="K68" s="281"/>
      <x:c r="L68" s="281"/>
      <x:c r="M68" s="281"/>
      <x:c r="N68" s="281"/>
      <x:c r="O68" s="281"/>
      <x:c r="P68" s="281"/>
      <x:c r="Q68" s="281"/>
      <x:c r="R68" s="281"/>
      <x:c r="S68" s="281"/>
      <x:c r="T68" s="281"/>
      <x:c r="U68" s="281"/>
      <x:c r="V68" s="281"/>
      <x:c r="W68" s="281"/>
      <x:c r="X68" s="281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281"/>
      <x:c r="B69" s="281"/>
      <x:c r="C69" s="281"/>
      <x:c r="D69" s="281"/>
      <x:c r="E69" s="281"/>
      <x:c r="F69" s="281"/>
      <x:c r="G69" s="281"/>
      <x:c r="H69" s="281"/>
      <x:c r="I69" s="281"/>
      <x:c r="J69" s="281"/>
      <x:c r="K69" s="281"/>
      <x:c r="L69" s="281"/>
      <x:c r="M69" s="281"/>
      <x:c r="N69" s="281"/>
      <x:c r="O69" s="281"/>
      <x:c r="P69" s="281"/>
      <x:c r="Q69" s="281"/>
      <x:c r="R69" s="281"/>
      <x:c r="S69" s="281"/>
      <x:c r="T69" s="281"/>
      <x:c r="U69" s="281"/>
      <x:c r="V69" s="281"/>
      <x:c r="W69" s="281"/>
      <x:c r="X69" s="281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281"/>
      <x:c r="B70" s="281"/>
      <x:c r="C70" s="281"/>
      <x:c r="D70" s="281"/>
      <x:c r="E70" s="281"/>
      <x:c r="F70" s="281"/>
      <x:c r="G70" s="281"/>
      <x:c r="H70" s="281"/>
      <x:c r="I70" s="281"/>
      <x:c r="J70" s="281"/>
      <x:c r="K70" s="281"/>
      <x:c r="L70" s="281"/>
      <x:c r="M70" s="281"/>
      <x:c r="N70" s="281"/>
      <x:c r="O70" s="281"/>
      <x:c r="P70" s="281"/>
      <x:c r="Q70" s="281"/>
      <x:c r="R70" s="281"/>
      <x:c r="S70" s="281"/>
      <x:c r="T70" s="281"/>
      <x:c r="U70" s="281"/>
      <x:c r="V70" s="281"/>
      <x:c r="W70" s="281"/>
      <x:c r="X70" s="281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281"/>
      <x:c r="B71" s="281"/>
      <x:c r="C71" s="281"/>
      <x:c r="D71" s="281"/>
      <x:c r="E71" s="281"/>
      <x:c r="F71" s="281"/>
      <x:c r="G71" s="281"/>
      <x:c r="H71" s="281"/>
      <x:c r="I71" s="281"/>
      <x:c r="J71" s="281"/>
      <x:c r="K71" s="281"/>
      <x:c r="L71" s="281"/>
      <x:c r="M71" s="281"/>
      <x:c r="N71" s="281"/>
      <x:c r="O71" s="281"/>
      <x:c r="P71" s="281"/>
      <x:c r="Q71" s="281"/>
      <x:c r="R71" s="281"/>
      <x:c r="S71" s="281"/>
      <x:c r="T71" s="281"/>
      <x:c r="U71" s="281"/>
      <x:c r="V71" s="281"/>
      <x:c r="W71" s="281"/>
      <x:c r="X71" s="281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281"/>
      <x:c r="B72" s="281"/>
      <x:c r="C72" s="281"/>
      <x:c r="D72" s="281"/>
      <x:c r="E72" s="281"/>
      <x:c r="F72" s="281"/>
      <x:c r="G72" s="281"/>
      <x:c r="H72" s="281"/>
      <x:c r="I72" s="281"/>
      <x:c r="J72" s="281"/>
      <x:c r="K72" s="281"/>
      <x:c r="L72" s="281"/>
      <x:c r="M72" s="281"/>
      <x:c r="N72" s="281"/>
      <x:c r="O72" s="281"/>
      <x:c r="P72" s="281"/>
      <x:c r="Q72" s="281"/>
      <x:c r="R72" s="281"/>
      <x:c r="S72" s="281"/>
      <x:c r="T72" s="281"/>
      <x:c r="U72" s="281"/>
      <x:c r="V72" s="281"/>
      <x:c r="W72" s="281"/>
      <x:c r="X72" s="281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281"/>
      <x:c r="B73" s="281"/>
      <x:c r="C73" s="281"/>
      <x:c r="D73" s="281"/>
      <x:c r="E73" s="281"/>
      <x:c r="F73" s="281"/>
      <x:c r="G73" s="281"/>
      <x:c r="H73" s="281"/>
      <x:c r="I73" s="281"/>
      <x:c r="J73" s="281"/>
      <x:c r="K73" s="281"/>
      <x:c r="L73" s="281"/>
      <x:c r="M73" s="281"/>
      <x:c r="N73" s="281"/>
      <x:c r="O73" s="281"/>
      <x:c r="P73" s="281"/>
      <x:c r="Q73" s="281"/>
      <x:c r="R73" s="281"/>
      <x:c r="S73" s="281"/>
      <x:c r="T73" s="281"/>
      <x:c r="U73" s="281"/>
      <x:c r="V73" s="281"/>
      <x:c r="W73" s="281"/>
      <x:c r="X73" s="281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281"/>
      <x:c r="B74" s="281"/>
      <x:c r="C74" s="281"/>
      <x:c r="D74" s="281"/>
      <x:c r="E74" s="281"/>
      <x:c r="F74" s="281"/>
      <x:c r="G74" s="281"/>
      <x:c r="H74" s="281"/>
      <x:c r="I74" s="281"/>
      <x:c r="J74" s="281"/>
      <x:c r="K74" s="281"/>
      <x:c r="L74" s="281"/>
      <x:c r="M74" s="281"/>
      <x:c r="N74" s="281"/>
      <x:c r="O74" s="281"/>
      <x:c r="P74" s="281"/>
      <x:c r="Q74" s="281"/>
      <x:c r="R74" s="281"/>
      <x:c r="S74" s="281"/>
      <x:c r="T74" s="281"/>
      <x:c r="U74" s="281"/>
      <x:c r="V74" s="281"/>
      <x:c r="W74" s="281"/>
      <x:c r="X74" s="281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281"/>
      <x:c r="B75" s="281"/>
      <x:c r="C75" s="281"/>
      <x:c r="D75" s="281"/>
      <x:c r="E75" s="281"/>
      <x:c r="F75" s="281"/>
      <x:c r="G75" s="281"/>
      <x:c r="H75" s="281"/>
      <x:c r="I75" s="281"/>
      <x:c r="J75" s="281"/>
      <x:c r="K75" s="281"/>
      <x:c r="L75" s="281"/>
      <x:c r="M75" s="281"/>
      <x:c r="N75" s="281"/>
      <x:c r="O75" s="281"/>
      <x:c r="P75" s="281"/>
      <x:c r="Q75" s="281"/>
      <x:c r="R75" s="281"/>
      <x:c r="S75" s="281"/>
      <x:c r="T75" s="281"/>
      <x:c r="U75" s="281"/>
      <x:c r="V75" s="281"/>
      <x:c r="W75" s="281"/>
      <x:c r="X75" s="281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281"/>
      <x:c r="B76" s="281"/>
      <x:c r="C76" s="281"/>
      <x:c r="D76" s="281"/>
      <x:c r="E76" s="281"/>
      <x:c r="F76" s="281"/>
      <x:c r="G76" s="281"/>
      <x:c r="H76" s="281"/>
      <x:c r="I76" s="281"/>
      <x:c r="J76" s="281"/>
      <x:c r="K76" s="281"/>
      <x:c r="L76" s="281"/>
      <x:c r="M76" s="281"/>
      <x:c r="N76" s="281"/>
      <x:c r="O76" s="281"/>
      <x:c r="P76" s="281"/>
      <x:c r="Q76" s="281"/>
      <x:c r="R76" s="281"/>
      <x:c r="S76" s="281"/>
      <x:c r="T76" s="281"/>
      <x:c r="U76" s="281"/>
      <x:c r="V76" s="281"/>
      <x:c r="W76" s="281"/>
      <x:c r="X76" s="281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281"/>
      <x:c r="B77" s="281"/>
      <x:c r="C77" s="281"/>
      <x:c r="D77" s="281"/>
      <x:c r="E77" s="281"/>
      <x:c r="F77" s="281"/>
      <x:c r="G77" s="281"/>
      <x:c r="H77" s="281"/>
      <x:c r="I77" s="281"/>
      <x:c r="J77" s="281"/>
      <x:c r="K77" s="281"/>
      <x:c r="L77" s="281"/>
      <x:c r="M77" s="281"/>
      <x:c r="N77" s="281"/>
      <x:c r="O77" s="281"/>
      <x:c r="P77" s="281"/>
      <x:c r="Q77" s="281"/>
      <x:c r="R77" s="281"/>
      <x:c r="S77" s="281"/>
      <x:c r="T77" s="281"/>
      <x:c r="U77" s="281"/>
      <x:c r="V77" s="281"/>
      <x:c r="W77" s="281"/>
      <x:c r="X77" s="281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281"/>
      <x:c r="B78" s="281"/>
      <x:c r="C78" s="281"/>
      <x:c r="D78" s="281"/>
      <x:c r="E78" s="281"/>
      <x:c r="F78" s="281"/>
      <x:c r="G78" s="281"/>
      <x:c r="H78" s="281"/>
      <x:c r="I78" s="281"/>
      <x:c r="J78" s="281"/>
      <x:c r="K78" s="281"/>
      <x:c r="L78" s="281"/>
      <x:c r="M78" s="281"/>
      <x:c r="N78" s="281"/>
      <x:c r="O78" s="281"/>
      <x:c r="P78" s="281"/>
      <x:c r="Q78" s="281"/>
      <x:c r="R78" s="281"/>
      <x:c r="S78" s="281"/>
      <x:c r="T78" s="281"/>
      <x:c r="U78" s="281"/>
      <x:c r="V78" s="281"/>
      <x:c r="W78" s="281"/>
      <x:c r="X78" s="281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281"/>
      <x:c r="B79" s="281"/>
      <x:c r="C79" s="281"/>
      <x:c r="D79" s="281"/>
      <x:c r="E79" s="281"/>
      <x:c r="F79" s="281"/>
      <x:c r="G79" s="281"/>
      <x:c r="H79" s="281"/>
      <x:c r="I79" s="281"/>
      <x:c r="J79" s="281"/>
      <x:c r="K79" s="281"/>
      <x:c r="L79" s="281"/>
      <x:c r="M79" s="281"/>
      <x:c r="N79" s="281"/>
      <x:c r="O79" s="281"/>
      <x:c r="P79" s="281"/>
      <x:c r="Q79" s="281"/>
      <x:c r="R79" s="281"/>
      <x:c r="S79" s="281"/>
      <x:c r="T79" s="281"/>
      <x:c r="U79" s="281"/>
      <x:c r="V79" s="281"/>
      <x:c r="W79" s="281"/>
      <x:c r="X79" s="281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281"/>
      <x:c r="B80" s="281"/>
      <x:c r="C80" s="281"/>
      <x:c r="D80" s="281"/>
      <x:c r="E80" s="281"/>
      <x:c r="F80" s="281"/>
      <x:c r="G80" s="281"/>
      <x:c r="H80" s="281"/>
      <x:c r="I80" s="281"/>
      <x:c r="J80" s="281"/>
      <x:c r="K80" s="281"/>
      <x:c r="L80" s="281"/>
      <x:c r="M80" s="281"/>
      <x:c r="N80" s="281"/>
      <x:c r="O80" s="281"/>
      <x:c r="P80" s="281"/>
      <x:c r="Q80" s="281"/>
      <x:c r="R80" s="281"/>
      <x:c r="S80" s="281"/>
      <x:c r="T80" s="281"/>
      <x:c r="U80" s="281"/>
      <x:c r="V80" s="281"/>
      <x:c r="W80" s="281"/>
      <x:c r="X80" s="281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281"/>
      <x:c r="B81" s="281"/>
      <x:c r="C81" s="281"/>
      <x:c r="D81" s="281"/>
      <x:c r="E81" s="281"/>
      <x:c r="F81" s="281"/>
      <x:c r="G81" s="281"/>
      <x:c r="H81" s="281"/>
      <x:c r="I81" s="281"/>
      <x:c r="J81" s="281"/>
      <x:c r="K81" s="281"/>
      <x:c r="L81" s="281"/>
      <x:c r="M81" s="281"/>
      <x:c r="N81" s="281"/>
      <x:c r="O81" s="281"/>
      <x:c r="P81" s="281"/>
      <x:c r="Q81" s="281"/>
      <x:c r="R81" s="281"/>
      <x:c r="S81" s="281"/>
      <x:c r="T81" s="281"/>
      <x:c r="U81" s="281"/>
      <x:c r="V81" s="281"/>
      <x:c r="W81" s="281"/>
      <x:c r="X81" s="281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281"/>
      <x:c r="B82" s="281"/>
      <x:c r="C82" s="281"/>
      <x:c r="D82" s="281"/>
      <x:c r="E82" s="281"/>
      <x:c r="F82" s="281"/>
      <x:c r="G82" s="281"/>
      <x:c r="H82" s="281"/>
      <x:c r="I82" s="281"/>
      <x:c r="J82" s="281"/>
      <x:c r="K82" s="281"/>
      <x:c r="L82" s="281"/>
      <x:c r="M82" s="281"/>
      <x:c r="N82" s="281"/>
      <x:c r="O82" s="281"/>
      <x:c r="P82" s="281"/>
      <x:c r="Q82" s="281"/>
      <x:c r="R82" s="281"/>
      <x:c r="S82" s="281"/>
      <x:c r="T82" s="281"/>
      <x:c r="U82" s="281"/>
      <x:c r="V82" s="281"/>
      <x:c r="W82" s="281"/>
      <x:c r="X82" s="281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281"/>
      <x:c r="B83" s="281"/>
      <x:c r="C83" s="281"/>
      <x:c r="D83" s="281"/>
      <x:c r="E83" s="281"/>
      <x:c r="F83" s="281"/>
      <x:c r="G83" s="281"/>
      <x:c r="H83" s="281"/>
      <x:c r="I83" s="281"/>
      <x:c r="J83" s="281"/>
      <x:c r="K83" s="281"/>
      <x:c r="L83" s="281"/>
      <x:c r="M83" s="281"/>
      <x:c r="N83" s="281"/>
      <x:c r="O83" s="281"/>
      <x:c r="P83" s="281"/>
      <x:c r="Q83" s="281"/>
      <x:c r="R83" s="281"/>
      <x:c r="S83" s="281"/>
      <x:c r="T83" s="281"/>
      <x:c r="U83" s="281"/>
      <x:c r="V83" s="281"/>
      <x:c r="W83" s="281"/>
      <x:c r="X83" s="281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281"/>
      <x:c r="B84" s="281"/>
      <x:c r="C84" s="281"/>
      <x:c r="D84" s="281"/>
      <x:c r="E84" s="281"/>
      <x:c r="F84" s="281"/>
      <x:c r="G84" s="281"/>
      <x:c r="H84" s="281"/>
      <x:c r="I84" s="281"/>
      <x:c r="J84" s="281"/>
      <x:c r="K84" s="281"/>
      <x:c r="L84" s="281"/>
      <x:c r="M84" s="281"/>
      <x:c r="N84" s="281"/>
      <x:c r="O84" s="281"/>
      <x:c r="P84" s="281"/>
      <x:c r="Q84" s="281"/>
      <x:c r="R84" s="281"/>
      <x:c r="S84" s="281"/>
      <x:c r="T84" s="281"/>
      <x:c r="U84" s="281"/>
      <x:c r="V84" s="281"/>
      <x:c r="W84" s="281"/>
      <x:c r="X84" s="281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281"/>
      <x:c r="B85" s="281"/>
      <x:c r="C85" s="281"/>
      <x:c r="D85" s="281"/>
      <x:c r="E85" s="281"/>
      <x:c r="F85" s="281"/>
      <x:c r="G85" s="281"/>
      <x:c r="H85" s="281"/>
      <x:c r="I85" s="281"/>
      <x:c r="J85" s="281"/>
      <x:c r="K85" s="281"/>
      <x:c r="L85" s="281"/>
      <x:c r="M85" s="281"/>
      <x:c r="N85" s="281"/>
      <x:c r="O85" s="281"/>
      <x:c r="P85" s="281"/>
      <x:c r="Q85" s="281"/>
      <x:c r="R85" s="281"/>
      <x:c r="S85" s="281"/>
      <x:c r="T85" s="281"/>
      <x:c r="U85" s="281"/>
      <x:c r="V85" s="281"/>
      <x:c r="W85" s="281"/>
      <x:c r="X85" s="281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281"/>
      <x:c r="B86" s="281"/>
      <x:c r="C86" s="281"/>
      <x:c r="D86" s="281"/>
      <x:c r="E86" s="281"/>
      <x:c r="F86" s="281"/>
      <x:c r="G86" s="281"/>
      <x:c r="H86" s="281"/>
      <x:c r="I86" s="281"/>
      <x:c r="J86" s="281"/>
      <x:c r="K86" s="281"/>
      <x:c r="L86" s="281"/>
      <x:c r="M86" s="281"/>
      <x:c r="N86" s="281"/>
      <x:c r="O86" s="281"/>
      <x:c r="P86" s="281"/>
      <x:c r="Q86" s="281"/>
      <x:c r="R86" s="281"/>
      <x:c r="S86" s="281"/>
      <x:c r="T86" s="281"/>
      <x:c r="U86" s="281"/>
      <x:c r="V86" s="281"/>
      <x:c r="W86" s="281"/>
      <x:c r="X86" s="281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281"/>
      <x:c r="B87" s="281"/>
      <x:c r="C87" s="281"/>
      <x:c r="D87" s="281"/>
      <x:c r="E87" s="281"/>
      <x:c r="F87" s="281"/>
      <x:c r="G87" s="281"/>
      <x:c r="H87" s="281"/>
      <x:c r="I87" s="281"/>
      <x:c r="J87" s="281"/>
      <x:c r="K87" s="281"/>
      <x:c r="L87" s="281"/>
      <x:c r="M87" s="281"/>
      <x:c r="N87" s="281"/>
      <x:c r="O87" s="281"/>
      <x:c r="P87" s="281"/>
      <x:c r="Q87" s="281"/>
      <x:c r="R87" s="281"/>
      <x:c r="S87" s="281"/>
      <x:c r="T87" s="281"/>
      <x:c r="U87" s="281"/>
      <x:c r="V87" s="281"/>
      <x:c r="W87" s="281"/>
      <x:c r="X87" s="281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281"/>
      <x:c r="B88" s="281"/>
      <x:c r="C88" s="281"/>
      <x:c r="D88" s="281"/>
      <x:c r="E88" s="281"/>
      <x:c r="F88" s="281"/>
      <x:c r="G88" s="281"/>
      <x:c r="H88" s="281"/>
      <x:c r="I88" s="281"/>
      <x:c r="J88" s="281"/>
      <x:c r="K88" s="281"/>
      <x:c r="L88" s="281"/>
      <x:c r="M88" s="281"/>
      <x:c r="N88" s="281"/>
      <x:c r="O88" s="281"/>
      <x:c r="P88" s="281"/>
      <x:c r="Q88" s="281"/>
      <x:c r="R88" s="281"/>
      <x:c r="S88" s="281"/>
      <x:c r="T88" s="281"/>
      <x:c r="U88" s="281"/>
      <x:c r="V88" s="281"/>
      <x:c r="W88" s="281"/>
      <x:c r="X88" s="281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281"/>
      <x:c r="B89" s="281"/>
      <x:c r="C89" s="281"/>
      <x:c r="D89" s="281"/>
      <x:c r="E89" s="281"/>
      <x:c r="F89" s="281"/>
      <x:c r="G89" s="281"/>
      <x:c r="H89" s="281"/>
      <x:c r="I89" s="281"/>
      <x:c r="J89" s="281"/>
      <x:c r="K89" s="281"/>
      <x:c r="L89" s="281"/>
      <x:c r="M89" s="281"/>
      <x:c r="N89" s="281"/>
      <x:c r="O89" s="281"/>
      <x:c r="P89" s="281"/>
      <x:c r="Q89" s="281"/>
      <x:c r="R89" s="281"/>
      <x:c r="S89" s="281"/>
      <x:c r="T89" s="281"/>
      <x:c r="U89" s="281"/>
      <x:c r="V89" s="281"/>
      <x:c r="W89" s="281"/>
      <x:c r="X89" s="281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281"/>
      <x:c r="B90" s="281"/>
      <x:c r="C90" s="281"/>
      <x:c r="D90" s="281"/>
      <x:c r="E90" s="281"/>
      <x:c r="F90" s="281"/>
      <x:c r="G90" s="281"/>
      <x:c r="H90" s="281"/>
      <x:c r="I90" s="281"/>
      <x:c r="J90" s="281"/>
      <x:c r="K90" s="281"/>
      <x:c r="L90" s="281"/>
      <x:c r="M90" s="281"/>
      <x:c r="N90" s="281"/>
      <x:c r="O90" s="281"/>
      <x:c r="P90" s="281"/>
      <x:c r="Q90" s="281"/>
      <x:c r="R90" s="281"/>
      <x:c r="S90" s="281"/>
      <x:c r="T90" s="281"/>
      <x:c r="U90" s="281"/>
      <x:c r="V90" s="281"/>
      <x:c r="W90" s="281"/>
      <x:c r="X90" s="281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281"/>
      <x:c r="B91" s="281"/>
      <x:c r="C91" s="281"/>
      <x:c r="D91" s="281"/>
      <x:c r="E91" s="281"/>
      <x:c r="F91" s="281"/>
      <x:c r="G91" s="281"/>
      <x:c r="H91" s="281"/>
      <x:c r="I91" s="281"/>
      <x:c r="J91" s="281"/>
      <x:c r="K91" s="281"/>
      <x:c r="L91" s="281"/>
      <x:c r="M91" s="281"/>
      <x:c r="N91" s="281"/>
      <x:c r="O91" s="281"/>
      <x:c r="P91" s="281"/>
      <x:c r="Q91" s="281"/>
      <x:c r="R91" s="281"/>
      <x:c r="S91" s="281"/>
      <x:c r="T91" s="281"/>
      <x:c r="U91" s="281"/>
      <x:c r="V91" s="281"/>
      <x:c r="W91" s="281"/>
      <x:c r="X91" s="281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281"/>
      <x:c r="B92" s="281"/>
      <x:c r="C92" s="281"/>
      <x:c r="D92" s="281"/>
      <x:c r="E92" s="281"/>
      <x:c r="F92" s="281"/>
      <x:c r="G92" s="281"/>
      <x:c r="H92" s="281"/>
      <x:c r="I92" s="281"/>
      <x:c r="J92" s="281"/>
      <x:c r="K92" s="281"/>
      <x:c r="L92" s="281"/>
      <x:c r="M92" s="281"/>
      <x:c r="N92" s="281"/>
      <x:c r="O92" s="281"/>
      <x:c r="P92" s="281"/>
      <x:c r="Q92" s="281"/>
      <x:c r="R92" s="281"/>
      <x:c r="S92" s="281"/>
      <x:c r="T92" s="281"/>
      <x:c r="U92" s="281"/>
      <x:c r="V92" s="281"/>
      <x:c r="W92" s="281"/>
      <x:c r="X92" s="281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281"/>
      <x:c r="B93" s="281"/>
      <x:c r="C93" s="281"/>
      <x:c r="D93" s="281"/>
      <x:c r="E93" s="281"/>
      <x:c r="F93" s="281"/>
      <x:c r="G93" s="281"/>
      <x:c r="H93" s="281"/>
      <x:c r="I93" s="281"/>
      <x:c r="J93" s="281"/>
      <x:c r="K93" s="281"/>
      <x:c r="L93" s="281"/>
      <x:c r="M93" s="281"/>
      <x:c r="N93" s="281"/>
      <x:c r="O93" s="281"/>
      <x:c r="P93" s="281"/>
      <x:c r="Q93" s="281"/>
      <x:c r="R93" s="281"/>
      <x:c r="S93" s="281"/>
      <x:c r="T93" s="281"/>
      <x:c r="U93" s="281"/>
      <x:c r="V93" s="281"/>
      <x:c r="W93" s="281"/>
      <x:c r="X93" s="281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281"/>
      <x:c r="B94" s="281"/>
      <x:c r="C94" s="281"/>
      <x:c r="D94" s="281"/>
      <x:c r="E94" s="281"/>
      <x:c r="F94" s="281"/>
      <x:c r="G94" s="281"/>
      <x:c r="H94" s="281"/>
      <x:c r="I94" s="281"/>
      <x:c r="J94" s="281"/>
      <x:c r="K94" s="281"/>
      <x:c r="L94" s="281"/>
      <x:c r="M94" s="281"/>
      <x:c r="N94" s="281"/>
      <x:c r="O94" s="281"/>
      <x:c r="P94" s="281"/>
      <x:c r="Q94" s="281"/>
      <x:c r="R94" s="281"/>
      <x:c r="S94" s="281"/>
      <x:c r="T94" s="281"/>
      <x:c r="U94" s="281"/>
      <x:c r="V94" s="281"/>
      <x:c r="W94" s="281"/>
      <x:c r="X94" s="281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281"/>
      <x:c r="B95" s="281"/>
      <x:c r="C95" s="281"/>
      <x:c r="D95" s="281"/>
      <x:c r="E95" s="281"/>
      <x:c r="F95" s="281"/>
      <x:c r="G95" s="281"/>
      <x:c r="H95" s="281"/>
      <x:c r="I95" s="281"/>
      <x:c r="J95" s="281"/>
      <x:c r="K95" s="281"/>
      <x:c r="L95" s="281"/>
      <x:c r="M95" s="281"/>
      <x:c r="N95" s="281"/>
      <x:c r="O95" s="281"/>
      <x:c r="P95" s="281"/>
      <x:c r="Q95" s="281"/>
      <x:c r="R95" s="281"/>
      <x:c r="S95" s="281"/>
      <x:c r="T95" s="281"/>
      <x:c r="U95" s="281"/>
      <x:c r="V95" s="281"/>
      <x:c r="W95" s="281"/>
      <x:c r="X95" s="281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281"/>
      <x:c r="B96" s="281"/>
      <x:c r="C96" s="281"/>
      <x:c r="D96" s="281"/>
      <x:c r="E96" s="281"/>
      <x:c r="F96" s="281"/>
      <x:c r="G96" s="281"/>
      <x:c r="H96" s="281"/>
      <x:c r="I96" s="281"/>
      <x:c r="J96" s="281"/>
      <x:c r="K96" s="281"/>
      <x:c r="L96" s="281"/>
      <x:c r="M96" s="281"/>
      <x:c r="N96" s="281"/>
      <x:c r="O96" s="281"/>
      <x:c r="P96" s="281"/>
      <x:c r="Q96" s="281"/>
      <x:c r="R96" s="281"/>
      <x:c r="S96" s="281"/>
      <x:c r="T96" s="281"/>
      <x:c r="U96" s="281"/>
      <x:c r="V96" s="281"/>
      <x:c r="W96" s="281"/>
      <x:c r="X96" s="281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281"/>
      <x:c r="B97" s="281"/>
      <x:c r="C97" s="281"/>
      <x:c r="D97" s="281"/>
      <x:c r="E97" s="281"/>
      <x:c r="F97" s="281"/>
      <x:c r="G97" s="281"/>
      <x:c r="H97" s="281"/>
      <x:c r="I97" s="281"/>
      <x:c r="J97" s="281"/>
      <x:c r="K97" s="281"/>
      <x:c r="L97" s="281"/>
      <x:c r="M97" s="281"/>
      <x:c r="N97" s="281"/>
      <x:c r="O97" s="281"/>
      <x:c r="P97" s="281"/>
      <x:c r="Q97" s="281"/>
      <x:c r="R97" s="281"/>
      <x:c r="S97" s="281"/>
      <x:c r="T97" s="281"/>
      <x:c r="U97" s="281"/>
      <x:c r="V97" s="281"/>
      <x:c r="W97" s="281"/>
      <x:c r="X97" s="281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281"/>
      <x:c r="B98" s="281"/>
      <x:c r="C98" s="281"/>
      <x:c r="D98" s="281"/>
      <x:c r="E98" s="281"/>
      <x:c r="F98" s="281"/>
      <x:c r="G98" s="281"/>
      <x:c r="H98" s="281"/>
      <x:c r="I98" s="281"/>
      <x:c r="J98" s="281"/>
      <x:c r="K98" s="281"/>
      <x:c r="L98" s="281"/>
      <x:c r="M98" s="281"/>
      <x:c r="N98" s="281"/>
      <x:c r="O98" s="281"/>
      <x:c r="P98" s="281"/>
      <x:c r="Q98" s="281"/>
      <x:c r="R98" s="281"/>
      <x:c r="S98" s="281"/>
      <x:c r="T98" s="281"/>
      <x:c r="U98" s="281"/>
      <x:c r="V98" s="281"/>
      <x:c r="W98" s="281"/>
      <x:c r="X98" s="281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281"/>
      <x:c r="B99" s="281"/>
      <x:c r="C99" s="281"/>
      <x:c r="D99" s="281"/>
      <x:c r="E99" s="281"/>
      <x:c r="F99" s="281"/>
      <x:c r="G99" s="281"/>
      <x:c r="H99" s="281"/>
      <x:c r="I99" s="281"/>
      <x:c r="J99" s="281"/>
      <x:c r="K99" s="281"/>
      <x:c r="L99" s="281"/>
      <x:c r="M99" s="281"/>
      <x:c r="N99" s="281"/>
      <x:c r="O99" s="281"/>
      <x:c r="P99" s="281"/>
      <x:c r="Q99" s="281"/>
      <x:c r="R99" s="281"/>
      <x:c r="S99" s="281"/>
      <x:c r="T99" s="281"/>
      <x:c r="U99" s="281"/>
      <x:c r="V99" s="281"/>
      <x:c r="W99" s="281"/>
      <x:c r="X99" s="281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281"/>
      <x:c r="B100" s="281"/>
      <x:c r="C100" s="281"/>
      <x:c r="D100" s="281"/>
      <x:c r="E100" s="281"/>
      <x:c r="F100" s="281"/>
      <x:c r="G100" s="281"/>
      <x:c r="H100" s="281"/>
      <x:c r="I100" s="281"/>
      <x:c r="J100" s="281"/>
      <x:c r="K100" s="281"/>
      <x:c r="L100" s="281"/>
      <x:c r="M100" s="281"/>
      <x:c r="N100" s="281"/>
      <x:c r="O100" s="281"/>
      <x:c r="P100" s="281"/>
      <x:c r="Q100" s="281"/>
      <x:c r="R100" s="281"/>
      <x:c r="S100" s="281"/>
      <x:c r="T100" s="281"/>
      <x:c r="U100" s="281"/>
      <x:c r="V100" s="281"/>
      <x:c r="W100" s="281"/>
      <x:c r="X100" s="281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281"/>
      <x:c r="B101" s="281"/>
      <x:c r="C101" s="281"/>
      <x:c r="D101" s="281"/>
      <x:c r="E101" s="281"/>
      <x:c r="F101" s="281"/>
      <x:c r="G101" s="281"/>
      <x:c r="H101" s="281"/>
      <x:c r="I101" s="281"/>
      <x:c r="J101" s="281"/>
      <x:c r="K101" s="281"/>
      <x:c r="L101" s="281"/>
      <x:c r="M101" s="281"/>
      <x:c r="N101" s="281"/>
      <x:c r="O101" s="281"/>
      <x:c r="P101" s="281"/>
      <x:c r="Q101" s="281"/>
      <x:c r="R101" s="281"/>
      <x:c r="S101" s="281"/>
      <x:c r="T101" s="281"/>
      <x:c r="U101" s="281"/>
      <x:c r="V101" s="281"/>
      <x:c r="W101" s="281"/>
      <x:c r="X101" s="281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281"/>
      <x:c r="B102" s="281"/>
      <x:c r="C102" s="281"/>
      <x:c r="D102" s="281"/>
      <x:c r="E102" s="281"/>
      <x:c r="F102" s="281"/>
      <x:c r="G102" s="281"/>
      <x:c r="H102" s="281"/>
      <x:c r="I102" s="281"/>
      <x:c r="J102" s="281"/>
      <x:c r="K102" s="281"/>
      <x:c r="L102" s="281"/>
      <x:c r="M102" s="281"/>
      <x:c r="N102" s="281"/>
      <x:c r="O102" s="281"/>
      <x:c r="P102" s="281"/>
      <x:c r="Q102" s="281"/>
      <x:c r="R102" s="281"/>
      <x:c r="S102" s="281"/>
      <x:c r="T102" s="281"/>
      <x:c r="U102" s="281"/>
      <x:c r="V102" s="281"/>
      <x:c r="W102" s="281"/>
      <x:c r="X102" s="281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281"/>
      <x:c r="B103" s="281"/>
      <x:c r="C103" s="281"/>
      <x:c r="D103" s="281"/>
      <x:c r="E103" s="281"/>
      <x:c r="F103" s="281"/>
      <x:c r="G103" s="281"/>
      <x:c r="H103" s="281"/>
      <x:c r="I103" s="281"/>
      <x:c r="J103" s="281"/>
      <x:c r="K103" s="281"/>
      <x:c r="L103" s="281"/>
      <x:c r="M103" s="281"/>
      <x:c r="N103" s="281"/>
      <x:c r="O103" s="281"/>
      <x:c r="P103" s="281"/>
      <x:c r="Q103" s="281"/>
      <x:c r="R103" s="281"/>
      <x:c r="S103" s="281"/>
      <x:c r="T103" s="281"/>
      <x:c r="U103" s="281"/>
      <x:c r="V103" s="281"/>
      <x:c r="W103" s="281"/>
      <x:c r="X103" s="281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281"/>
      <x:c r="B104" s="281"/>
      <x:c r="C104" s="281"/>
      <x:c r="D104" s="281"/>
      <x:c r="E104" s="281"/>
      <x:c r="F104" s="281"/>
      <x:c r="G104" s="281"/>
      <x:c r="H104" s="281"/>
      <x:c r="I104" s="281"/>
      <x:c r="J104" s="281"/>
      <x:c r="K104" s="281"/>
      <x:c r="L104" s="281"/>
      <x:c r="M104" s="281"/>
      <x:c r="N104" s="281"/>
      <x:c r="O104" s="281"/>
      <x:c r="P104" s="281"/>
      <x:c r="Q104" s="281"/>
      <x:c r="R104" s="281"/>
      <x:c r="S104" s="281"/>
      <x:c r="T104" s="281"/>
      <x:c r="U104" s="281"/>
      <x:c r="V104" s="281"/>
      <x:c r="W104" s="281"/>
      <x:c r="X104" s="281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281"/>
      <x:c r="B105" s="281"/>
      <x:c r="C105" s="281"/>
      <x:c r="D105" s="281"/>
      <x:c r="E105" s="281"/>
      <x:c r="F105" s="281"/>
      <x:c r="G105" s="281"/>
      <x:c r="H105" s="281"/>
      <x:c r="I105" s="281"/>
      <x:c r="J105" s="281"/>
      <x:c r="K105" s="281"/>
      <x:c r="L105" s="281"/>
      <x:c r="M105" s="281"/>
      <x:c r="N105" s="281"/>
      <x:c r="O105" s="281"/>
      <x:c r="P105" s="281"/>
      <x:c r="Q105" s="281"/>
      <x:c r="R105" s="281"/>
      <x:c r="S105" s="281"/>
      <x:c r="T105" s="281"/>
      <x:c r="U105" s="281"/>
      <x:c r="V105" s="281"/>
      <x:c r="W105" s="281"/>
      <x:c r="X105" s="281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281"/>
      <x:c r="B106" s="281"/>
      <x:c r="C106" s="281"/>
      <x:c r="D106" s="281"/>
      <x:c r="E106" s="281"/>
      <x:c r="F106" s="281"/>
      <x:c r="G106" s="281"/>
      <x:c r="H106" s="281"/>
      <x:c r="I106" s="281"/>
      <x:c r="J106" s="281"/>
      <x:c r="K106" s="281"/>
      <x:c r="L106" s="281"/>
      <x:c r="M106" s="281"/>
      <x:c r="N106" s="281"/>
      <x:c r="O106" s="281"/>
      <x:c r="P106" s="281"/>
      <x:c r="Q106" s="281"/>
      <x:c r="R106" s="281"/>
      <x:c r="S106" s="281"/>
      <x:c r="T106" s="281"/>
      <x:c r="U106" s="281"/>
      <x:c r="V106" s="281"/>
      <x:c r="W106" s="281"/>
      <x:c r="X106" s="281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281"/>
      <x:c r="B107" s="281"/>
      <x:c r="C107" s="281"/>
      <x:c r="D107" s="281"/>
      <x:c r="E107" s="281"/>
      <x:c r="F107" s="281"/>
      <x:c r="G107" s="281"/>
      <x:c r="H107" s="281"/>
      <x:c r="I107" s="281"/>
      <x:c r="J107" s="281"/>
      <x:c r="K107" s="281"/>
      <x:c r="L107" s="281"/>
      <x:c r="M107" s="281"/>
      <x:c r="N107" s="281"/>
      <x:c r="O107" s="281"/>
      <x:c r="P107" s="281"/>
      <x:c r="Q107" s="281"/>
      <x:c r="R107" s="281"/>
      <x:c r="S107" s="281"/>
      <x:c r="T107" s="281"/>
      <x:c r="U107" s="281"/>
      <x:c r="V107" s="281"/>
      <x:c r="W107" s="281"/>
      <x:c r="X107" s="281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281"/>
      <x:c r="B108" s="281"/>
      <x:c r="C108" s="281"/>
      <x:c r="D108" s="281"/>
      <x:c r="E108" s="281"/>
      <x:c r="F108" s="281"/>
      <x:c r="G108" s="281"/>
      <x:c r="H108" s="281"/>
      <x:c r="I108" s="281"/>
      <x:c r="J108" s="281"/>
      <x:c r="K108" s="281"/>
      <x:c r="L108" s="281"/>
      <x:c r="M108" s="281"/>
      <x:c r="N108" s="281"/>
      <x:c r="O108" s="281"/>
      <x:c r="P108" s="281"/>
      <x:c r="Q108" s="281"/>
      <x:c r="R108" s="281"/>
      <x:c r="S108" s="281"/>
      <x:c r="T108" s="281"/>
      <x:c r="U108" s="281"/>
      <x:c r="V108" s="281"/>
      <x:c r="W108" s="281"/>
      <x:c r="X108" s="281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281"/>
      <x:c r="B109" s="281"/>
      <x:c r="C109" s="281"/>
      <x:c r="D109" s="281"/>
      <x:c r="E109" s="281"/>
      <x:c r="F109" s="281"/>
      <x:c r="G109" s="281"/>
      <x:c r="H109" s="281"/>
      <x:c r="I109" s="281"/>
      <x:c r="J109" s="281"/>
      <x:c r="K109" s="281"/>
      <x:c r="L109" s="281"/>
      <x:c r="M109" s="281"/>
      <x:c r="N109" s="281"/>
      <x:c r="O109" s="281"/>
      <x:c r="P109" s="281"/>
      <x:c r="Q109" s="281"/>
      <x:c r="R109" s="281"/>
      <x:c r="S109" s="281"/>
      <x:c r="T109" s="281"/>
      <x:c r="U109" s="281"/>
      <x:c r="V109" s="281"/>
      <x:c r="W109" s="281"/>
      <x:c r="X109" s="281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281"/>
      <x:c r="B110" s="281"/>
      <x:c r="C110" s="281"/>
      <x:c r="D110" s="281"/>
      <x:c r="E110" s="281"/>
      <x:c r="F110" s="281"/>
      <x:c r="G110" s="281"/>
      <x:c r="H110" s="281"/>
      <x:c r="I110" s="281"/>
      <x:c r="J110" s="281"/>
      <x:c r="K110" s="281"/>
      <x:c r="L110" s="281"/>
      <x:c r="M110" s="281"/>
      <x:c r="N110" s="281"/>
      <x:c r="O110" s="281"/>
      <x:c r="P110" s="281"/>
      <x:c r="Q110" s="281"/>
      <x:c r="R110" s="281"/>
      <x:c r="S110" s="281"/>
      <x:c r="T110" s="281"/>
      <x:c r="U110" s="281"/>
      <x:c r="V110" s="281"/>
      <x:c r="W110" s="281"/>
      <x:c r="X110" s="281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281"/>
      <x:c r="B111" s="281"/>
      <x:c r="C111" s="281"/>
      <x:c r="D111" s="281"/>
      <x:c r="E111" s="281"/>
      <x:c r="F111" s="281"/>
      <x:c r="G111" s="281"/>
      <x:c r="H111" s="281"/>
      <x:c r="I111" s="281"/>
      <x:c r="J111" s="281"/>
      <x:c r="K111" s="281"/>
      <x:c r="L111" s="281"/>
      <x:c r="M111" s="281"/>
      <x:c r="N111" s="281"/>
      <x:c r="O111" s="281"/>
      <x:c r="P111" s="281"/>
      <x:c r="Q111" s="281"/>
      <x:c r="R111" s="281"/>
      <x:c r="S111" s="281"/>
      <x:c r="T111" s="281"/>
      <x:c r="U111" s="281"/>
      <x:c r="V111" s="281"/>
      <x:c r="W111" s="281"/>
      <x:c r="X111" s="281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281"/>
      <x:c r="B112" s="281"/>
      <x:c r="C112" s="281"/>
      <x:c r="D112" s="281"/>
      <x:c r="E112" s="281"/>
      <x:c r="F112" s="281"/>
      <x:c r="G112" s="281"/>
      <x:c r="H112" s="281"/>
      <x:c r="I112" s="281"/>
      <x:c r="J112" s="281"/>
      <x:c r="K112" s="281"/>
      <x:c r="L112" s="281"/>
      <x:c r="M112" s="281"/>
      <x:c r="N112" s="281"/>
      <x:c r="O112" s="281"/>
      <x:c r="P112" s="281"/>
      <x:c r="Q112" s="281"/>
      <x:c r="R112" s="281"/>
      <x:c r="S112" s="281"/>
      <x:c r="T112" s="281"/>
      <x:c r="U112" s="281"/>
      <x:c r="V112" s="281"/>
      <x:c r="W112" s="281"/>
      <x:c r="X112" s="281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281"/>
      <x:c r="B113" s="281"/>
      <x:c r="C113" s="281"/>
      <x:c r="D113" s="281"/>
      <x:c r="E113" s="281"/>
      <x:c r="F113" s="281"/>
      <x:c r="G113" s="281"/>
      <x:c r="H113" s="281"/>
      <x:c r="I113" s="281"/>
      <x:c r="J113" s="281"/>
      <x:c r="K113" s="281"/>
      <x:c r="L113" s="281"/>
      <x:c r="M113" s="281"/>
      <x:c r="N113" s="281"/>
      <x:c r="O113" s="281"/>
      <x:c r="P113" s="281"/>
      <x:c r="Q113" s="281"/>
      <x:c r="R113" s="281"/>
      <x:c r="S113" s="281"/>
      <x:c r="T113" s="281"/>
      <x:c r="U113" s="281"/>
      <x:c r="V113" s="281"/>
      <x:c r="W113" s="281"/>
      <x:c r="X113" s="281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281"/>
      <x:c r="B114" s="281"/>
      <x:c r="C114" s="281"/>
      <x:c r="D114" s="281"/>
      <x:c r="E114" s="281"/>
      <x:c r="F114" s="281"/>
      <x:c r="G114" s="281"/>
      <x:c r="H114" s="281"/>
      <x:c r="I114" s="281"/>
      <x:c r="J114" s="281"/>
      <x:c r="K114" s="281"/>
      <x:c r="L114" s="281"/>
      <x:c r="M114" s="281"/>
      <x:c r="N114" s="281"/>
      <x:c r="O114" s="281"/>
      <x:c r="P114" s="281"/>
      <x:c r="Q114" s="281"/>
      <x:c r="R114" s="281"/>
      <x:c r="S114" s="281"/>
      <x:c r="T114" s="281"/>
      <x:c r="U114" s="281"/>
      <x:c r="V114" s="281"/>
      <x:c r="W114" s="281"/>
      <x:c r="X114" s="281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281"/>
      <x:c r="B115" s="281"/>
      <x:c r="C115" s="281"/>
      <x:c r="D115" s="281"/>
      <x:c r="E115" s="281"/>
      <x:c r="F115" s="281"/>
      <x:c r="G115" s="281"/>
      <x:c r="H115" s="281"/>
      <x:c r="I115" s="281"/>
      <x:c r="J115" s="281"/>
      <x:c r="K115" s="281"/>
      <x:c r="L115" s="281"/>
      <x:c r="M115" s="281"/>
      <x:c r="N115" s="281"/>
      <x:c r="O115" s="281"/>
      <x:c r="P115" s="281"/>
      <x:c r="Q115" s="281"/>
      <x:c r="R115" s="281"/>
      <x:c r="S115" s="281"/>
      <x:c r="T115" s="281"/>
      <x:c r="U115" s="281"/>
      <x:c r="V115" s="281"/>
      <x:c r="W115" s="281"/>
      <x:c r="X115" s="281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281"/>
      <x:c r="B116" s="281"/>
      <x:c r="C116" s="281"/>
      <x:c r="D116" s="281"/>
      <x:c r="E116" s="281"/>
      <x:c r="F116" s="281"/>
      <x:c r="G116" s="281"/>
      <x:c r="H116" s="281"/>
      <x:c r="I116" s="281"/>
      <x:c r="J116" s="281"/>
      <x:c r="K116" s="281"/>
      <x:c r="L116" s="281"/>
      <x:c r="M116" s="281"/>
      <x:c r="N116" s="281"/>
      <x:c r="O116" s="281"/>
      <x:c r="P116" s="281"/>
      <x:c r="Q116" s="281"/>
      <x:c r="R116" s="281"/>
      <x:c r="S116" s="281"/>
      <x:c r="T116" s="281"/>
      <x:c r="U116" s="281"/>
      <x:c r="V116" s="281"/>
      <x:c r="W116" s="281"/>
      <x:c r="X116" s="281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281"/>
      <x:c r="B117" s="281"/>
      <x:c r="C117" s="281"/>
      <x:c r="D117" s="281"/>
      <x:c r="E117" s="281"/>
      <x:c r="F117" s="281"/>
      <x:c r="G117" s="281"/>
      <x:c r="H117" s="281"/>
      <x:c r="I117" s="281"/>
      <x:c r="J117" s="281"/>
      <x:c r="K117" s="281"/>
      <x:c r="L117" s="281"/>
      <x:c r="M117" s="281"/>
      <x:c r="N117" s="281"/>
      <x:c r="O117" s="281"/>
      <x:c r="P117" s="281"/>
      <x:c r="Q117" s="281"/>
      <x:c r="R117" s="281"/>
      <x:c r="S117" s="281"/>
      <x:c r="T117" s="281"/>
      <x:c r="U117" s="281"/>
      <x:c r="V117" s="281"/>
      <x:c r="W117" s="281"/>
      <x:c r="X117" s="281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281"/>
      <x:c r="B118" s="281"/>
      <x:c r="C118" s="281"/>
      <x:c r="D118" s="281"/>
      <x:c r="E118" s="281"/>
      <x:c r="F118" s="281"/>
      <x:c r="G118" s="281"/>
      <x:c r="H118" s="281"/>
      <x:c r="I118" s="281"/>
      <x:c r="J118" s="281"/>
      <x:c r="K118" s="281"/>
      <x:c r="L118" s="281"/>
      <x:c r="M118" s="281"/>
      <x:c r="N118" s="281"/>
      <x:c r="O118" s="281"/>
      <x:c r="P118" s="281"/>
      <x:c r="Q118" s="281"/>
      <x:c r="R118" s="281"/>
      <x:c r="S118" s="281"/>
      <x:c r="T118" s="281"/>
      <x:c r="U118" s="281"/>
      <x:c r="V118" s="281"/>
      <x:c r="W118" s="281"/>
      <x:c r="X118" s="281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281"/>
      <x:c r="B119" s="281"/>
      <x:c r="C119" s="281"/>
      <x:c r="D119" s="281"/>
      <x:c r="E119" s="281"/>
      <x:c r="F119" s="281"/>
      <x:c r="G119" s="281"/>
      <x:c r="H119" s="281"/>
      <x:c r="I119" s="281"/>
      <x:c r="J119" s="281"/>
      <x:c r="K119" s="281"/>
      <x:c r="L119" s="281"/>
      <x:c r="M119" s="281"/>
      <x:c r="N119" s="281"/>
      <x:c r="O119" s="281"/>
      <x:c r="P119" s="281"/>
      <x:c r="Q119" s="281"/>
      <x:c r="R119" s="281"/>
      <x:c r="S119" s="281"/>
      <x:c r="T119" s="281"/>
      <x:c r="U119" s="281"/>
      <x:c r="V119" s="281"/>
      <x:c r="W119" s="281"/>
      <x:c r="X119" s="281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281"/>
      <x:c r="B120" s="281"/>
      <x:c r="C120" s="281"/>
      <x:c r="D120" s="281"/>
      <x:c r="E120" s="281"/>
      <x:c r="F120" s="281"/>
      <x:c r="G120" s="281"/>
      <x:c r="H120" s="281"/>
      <x:c r="I120" s="281"/>
      <x:c r="J120" s="281"/>
      <x:c r="K120" s="281"/>
      <x:c r="L120" s="281"/>
      <x:c r="M120" s="281"/>
      <x:c r="N120" s="281"/>
      <x:c r="O120" s="281"/>
      <x:c r="P120" s="281"/>
      <x:c r="Q120" s="281"/>
      <x:c r="R120" s="281"/>
      <x:c r="S120" s="281"/>
      <x:c r="T120" s="281"/>
      <x:c r="U120" s="281"/>
      <x:c r="V120" s="281"/>
      <x:c r="W120" s="281"/>
      <x:c r="X120" s="281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281"/>
      <x:c r="B121" s="281"/>
      <x:c r="C121" s="281"/>
      <x:c r="D121" s="281"/>
      <x:c r="E121" s="281"/>
      <x:c r="F121" s="281"/>
      <x:c r="G121" s="281"/>
      <x:c r="H121" s="281"/>
      <x:c r="I121" s="281"/>
      <x:c r="J121" s="281"/>
      <x:c r="K121" s="281"/>
      <x:c r="L121" s="281"/>
      <x:c r="M121" s="281"/>
      <x:c r="N121" s="281"/>
      <x:c r="O121" s="281"/>
      <x:c r="P121" s="281"/>
      <x:c r="Q121" s="281"/>
      <x:c r="R121" s="281"/>
      <x:c r="S121" s="281"/>
      <x:c r="T121" s="281"/>
      <x:c r="U121" s="281"/>
      <x:c r="V121" s="281"/>
      <x:c r="W121" s="281"/>
      <x:c r="X121" s="281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281"/>
      <x:c r="B122" s="281"/>
      <x:c r="C122" s="281"/>
      <x:c r="D122" s="281"/>
      <x:c r="E122" s="281"/>
      <x:c r="F122" s="281"/>
      <x:c r="G122" s="281"/>
      <x:c r="H122" s="281"/>
      <x:c r="I122" s="281"/>
      <x:c r="J122" s="281"/>
      <x:c r="K122" s="281"/>
      <x:c r="L122" s="281"/>
      <x:c r="M122" s="281"/>
      <x:c r="N122" s="281"/>
      <x:c r="O122" s="281"/>
      <x:c r="P122" s="281"/>
      <x:c r="Q122" s="281"/>
      <x:c r="R122" s="281"/>
      <x:c r="S122" s="281"/>
      <x:c r="T122" s="281"/>
      <x:c r="U122" s="281"/>
      <x:c r="V122" s="281"/>
      <x:c r="W122" s="281"/>
      <x:c r="X122" s="281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281"/>
      <x:c r="B123" s="281"/>
      <x:c r="C123" s="281"/>
      <x:c r="D123" s="281"/>
      <x:c r="E123" s="281"/>
      <x:c r="F123" s="281"/>
      <x:c r="G123" s="281"/>
      <x:c r="H123" s="281"/>
      <x:c r="I123" s="281"/>
      <x:c r="J123" s="281"/>
      <x:c r="K123" s="281"/>
      <x:c r="L123" s="281"/>
      <x:c r="M123" s="281"/>
      <x:c r="N123" s="281"/>
      <x:c r="O123" s="281"/>
      <x:c r="P123" s="281"/>
      <x:c r="Q123" s="281"/>
      <x:c r="R123" s="281"/>
      <x:c r="S123" s="281"/>
      <x:c r="T123" s="281"/>
      <x:c r="U123" s="281"/>
      <x:c r="V123" s="281"/>
      <x:c r="W123" s="281"/>
      <x:c r="X123" s="281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281"/>
      <x:c r="B124" s="281"/>
      <x:c r="C124" s="281"/>
      <x:c r="D124" s="281"/>
      <x:c r="E124" s="281"/>
      <x:c r="F124" s="281"/>
      <x:c r="G124" s="281"/>
      <x:c r="H124" s="281"/>
      <x:c r="I124" s="281"/>
      <x:c r="J124" s="281"/>
      <x:c r="K124" s="281"/>
      <x:c r="L124" s="281"/>
      <x:c r="M124" s="281"/>
      <x:c r="N124" s="281"/>
      <x:c r="O124" s="281"/>
      <x:c r="P124" s="281"/>
      <x:c r="Q124" s="281"/>
      <x:c r="R124" s="281"/>
      <x:c r="S124" s="281"/>
      <x:c r="T124" s="281"/>
      <x:c r="U124" s="281"/>
      <x:c r="V124" s="281"/>
      <x:c r="W124" s="281"/>
      <x:c r="X124" s="281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281"/>
      <x:c r="B125" s="281"/>
      <x:c r="C125" s="281"/>
      <x:c r="D125" s="281"/>
      <x:c r="E125" s="281"/>
      <x:c r="F125" s="281"/>
      <x:c r="G125" s="281"/>
      <x:c r="H125" s="281"/>
      <x:c r="I125" s="281"/>
      <x:c r="J125" s="281"/>
      <x:c r="K125" s="281"/>
      <x:c r="L125" s="281"/>
      <x:c r="M125" s="281"/>
      <x:c r="N125" s="281"/>
      <x:c r="O125" s="281"/>
      <x:c r="P125" s="281"/>
      <x:c r="Q125" s="281"/>
      <x:c r="R125" s="281"/>
      <x:c r="S125" s="281"/>
      <x:c r="T125" s="281"/>
      <x:c r="U125" s="281"/>
      <x:c r="V125" s="281"/>
      <x:c r="W125" s="281"/>
      <x:c r="X125" s="281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281"/>
      <x:c r="B126" s="281"/>
      <x:c r="C126" s="281"/>
      <x:c r="D126" s="281"/>
      <x:c r="E126" s="281"/>
      <x:c r="F126" s="281"/>
      <x:c r="G126" s="281"/>
      <x:c r="H126" s="281"/>
      <x:c r="I126" s="281"/>
      <x:c r="J126" s="281"/>
      <x:c r="K126" s="281"/>
      <x:c r="L126" s="281"/>
      <x:c r="M126" s="281"/>
      <x:c r="N126" s="281"/>
      <x:c r="O126" s="281"/>
      <x:c r="P126" s="281"/>
      <x:c r="Q126" s="281"/>
      <x:c r="R126" s="281"/>
      <x:c r="S126" s="281"/>
      <x:c r="T126" s="281"/>
      <x:c r="U126" s="281"/>
      <x:c r="V126" s="281"/>
      <x:c r="W126" s="281"/>
      <x:c r="X126" s="281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281"/>
      <x:c r="B127" s="281"/>
      <x:c r="C127" s="281"/>
      <x:c r="D127" s="281"/>
      <x:c r="E127" s="281"/>
      <x:c r="F127" s="281"/>
      <x:c r="G127" s="281"/>
      <x:c r="H127" s="281"/>
      <x:c r="I127" s="281"/>
      <x:c r="J127" s="281"/>
      <x:c r="K127" s="281"/>
      <x:c r="L127" s="281"/>
      <x:c r="M127" s="281"/>
      <x:c r="N127" s="281"/>
      <x:c r="O127" s="281"/>
      <x:c r="P127" s="281"/>
      <x:c r="Q127" s="281"/>
      <x:c r="R127" s="281"/>
      <x:c r="S127" s="281"/>
      <x:c r="T127" s="281"/>
      <x:c r="U127" s="281"/>
      <x:c r="V127" s="281"/>
      <x:c r="W127" s="281"/>
      <x:c r="X127" s="281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281"/>
      <x:c r="B128" s="281"/>
      <x:c r="C128" s="281"/>
      <x:c r="D128" s="281"/>
      <x:c r="E128" s="281"/>
      <x:c r="F128" s="281"/>
      <x:c r="G128" s="281"/>
      <x:c r="H128" s="281"/>
      <x:c r="I128" s="281"/>
      <x:c r="J128" s="281"/>
      <x:c r="K128" s="281"/>
      <x:c r="L128" s="281"/>
      <x:c r="M128" s="281"/>
      <x:c r="N128" s="281"/>
      <x:c r="O128" s="281"/>
      <x:c r="P128" s="281"/>
      <x:c r="Q128" s="281"/>
      <x:c r="R128" s="281"/>
      <x:c r="S128" s="281"/>
      <x:c r="T128" s="281"/>
      <x:c r="U128" s="281"/>
      <x:c r="V128" s="281"/>
      <x:c r="W128" s="281"/>
      <x:c r="X128" s="281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281"/>
      <x:c r="B129" s="281"/>
      <x:c r="C129" s="281"/>
      <x:c r="D129" s="281"/>
      <x:c r="E129" s="281"/>
      <x:c r="F129" s="281"/>
      <x:c r="G129" s="281"/>
      <x:c r="H129" s="281"/>
      <x:c r="I129" s="281"/>
      <x:c r="J129" s="281"/>
      <x:c r="K129" s="281"/>
      <x:c r="L129" s="281"/>
      <x:c r="M129" s="281"/>
      <x:c r="N129" s="281"/>
      <x:c r="O129" s="281"/>
      <x:c r="P129" s="281"/>
      <x:c r="Q129" s="281"/>
      <x:c r="R129" s="281"/>
      <x:c r="S129" s="281"/>
      <x:c r="T129" s="281"/>
      <x:c r="U129" s="281"/>
      <x:c r="V129" s="281"/>
      <x:c r="W129" s="281"/>
      <x:c r="X129" s="281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281"/>
      <x:c r="B130" s="281"/>
      <x:c r="C130" s="281"/>
      <x:c r="D130" s="281"/>
      <x:c r="E130" s="281"/>
      <x:c r="F130" s="281"/>
      <x:c r="G130" s="281"/>
      <x:c r="H130" s="281"/>
      <x:c r="I130" s="281"/>
      <x:c r="J130" s="281"/>
      <x:c r="K130" s="281"/>
      <x:c r="L130" s="281"/>
      <x:c r="M130" s="281"/>
      <x:c r="N130" s="281"/>
      <x:c r="O130" s="281"/>
      <x:c r="P130" s="281"/>
      <x:c r="Q130" s="281"/>
      <x:c r="R130" s="281"/>
      <x:c r="S130" s="281"/>
      <x:c r="T130" s="281"/>
      <x:c r="U130" s="281"/>
      <x:c r="V130" s="281"/>
      <x:c r="W130" s="281"/>
      <x:c r="X130" s="281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281"/>
      <x:c r="B131" s="281"/>
      <x:c r="C131" s="281"/>
      <x:c r="D131" s="281"/>
      <x:c r="E131" s="281"/>
      <x:c r="F131" s="281"/>
      <x:c r="G131" s="281"/>
      <x:c r="H131" s="281"/>
      <x:c r="I131" s="281"/>
      <x:c r="J131" s="281"/>
      <x:c r="K131" s="281"/>
      <x:c r="L131" s="281"/>
      <x:c r="M131" s="281"/>
      <x:c r="N131" s="281"/>
      <x:c r="O131" s="281"/>
      <x:c r="P131" s="281"/>
      <x:c r="Q131" s="281"/>
      <x:c r="R131" s="281"/>
      <x:c r="S131" s="281"/>
      <x:c r="T131" s="281"/>
      <x:c r="U131" s="281"/>
      <x:c r="V131" s="281"/>
      <x:c r="W131" s="281"/>
      <x:c r="X131" s="281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281"/>
      <x:c r="B132" s="281"/>
      <x:c r="C132" s="281"/>
      <x:c r="D132" s="281"/>
      <x:c r="E132" s="281"/>
      <x:c r="F132" s="281"/>
      <x:c r="G132" s="281"/>
      <x:c r="H132" s="281"/>
      <x:c r="I132" s="281"/>
      <x:c r="J132" s="281"/>
      <x:c r="K132" s="281"/>
      <x:c r="L132" s="281"/>
      <x:c r="M132" s="281"/>
      <x:c r="N132" s="281"/>
      <x:c r="O132" s="281"/>
      <x:c r="P132" s="281"/>
      <x:c r="Q132" s="281"/>
      <x:c r="R132" s="281"/>
      <x:c r="S132" s="281"/>
      <x:c r="T132" s="281"/>
      <x:c r="U132" s="281"/>
      <x:c r="V132" s="281"/>
      <x:c r="W132" s="281"/>
      <x:c r="X132" s="281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281"/>
      <x:c r="B133" s="281"/>
      <x:c r="C133" s="281"/>
      <x:c r="D133" s="281"/>
      <x:c r="E133" s="281"/>
      <x:c r="F133" s="281"/>
      <x:c r="G133" s="281"/>
      <x:c r="H133" s="281"/>
      <x:c r="I133" s="281"/>
      <x:c r="J133" s="281"/>
      <x:c r="K133" s="281"/>
      <x:c r="L133" s="281"/>
      <x:c r="M133" s="281"/>
      <x:c r="N133" s="281"/>
      <x:c r="O133" s="281"/>
      <x:c r="P133" s="281"/>
      <x:c r="Q133" s="281"/>
      <x:c r="R133" s="281"/>
      <x:c r="S133" s="281"/>
      <x:c r="T133" s="281"/>
      <x:c r="U133" s="281"/>
      <x:c r="V133" s="281"/>
      <x:c r="W133" s="281"/>
      <x:c r="X133" s="281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281"/>
      <x:c r="B134" s="281"/>
      <x:c r="C134" s="281"/>
      <x:c r="D134" s="281"/>
      <x:c r="E134" s="281"/>
      <x:c r="F134" s="281"/>
      <x:c r="G134" s="281"/>
      <x:c r="H134" s="281"/>
      <x:c r="I134" s="281"/>
      <x:c r="J134" s="281"/>
      <x:c r="K134" s="281"/>
      <x:c r="L134" s="281"/>
      <x:c r="M134" s="281"/>
      <x:c r="N134" s="281"/>
      <x:c r="O134" s="281"/>
      <x:c r="P134" s="281"/>
      <x:c r="Q134" s="281"/>
      <x:c r="R134" s="281"/>
      <x:c r="S134" s="281"/>
      <x:c r="T134" s="281"/>
      <x:c r="U134" s="281"/>
      <x:c r="V134" s="281"/>
      <x:c r="W134" s="281"/>
      <x:c r="X134" s="281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281"/>
      <x:c r="B135" s="281"/>
      <x:c r="C135" s="281"/>
      <x:c r="D135" s="281"/>
      <x:c r="E135" s="281"/>
      <x:c r="F135" s="281"/>
      <x:c r="G135" s="281"/>
      <x:c r="H135" s="281"/>
      <x:c r="I135" s="281"/>
      <x:c r="J135" s="281"/>
      <x:c r="K135" s="281"/>
      <x:c r="L135" s="281"/>
      <x:c r="M135" s="281"/>
      <x:c r="N135" s="281"/>
      <x:c r="O135" s="281"/>
      <x:c r="P135" s="281"/>
      <x:c r="Q135" s="281"/>
      <x:c r="R135" s="281"/>
      <x:c r="S135" s="281"/>
      <x:c r="T135" s="281"/>
      <x:c r="U135" s="281"/>
      <x:c r="V135" s="281"/>
      <x:c r="W135" s="281"/>
      <x:c r="X135" s="281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281"/>
      <x:c r="B136" s="281"/>
      <x:c r="C136" s="281"/>
      <x:c r="D136" s="281"/>
      <x:c r="E136" s="281"/>
      <x:c r="F136" s="281"/>
      <x:c r="G136" s="281"/>
      <x:c r="H136" s="281"/>
      <x:c r="I136" s="281"/>
      <x:c r="J136" s="281"/>
      <x:c r="K136" s="281"/>
      <x:c r="L136" s="281"/>
      <x:c r="M136" s="281"/>
      <x:c r="N136" s="281"/>
      <x:c r="O136" s="281"/>
      <x:c r="P136" s="281"/>
      <x:c r="Q136" s="281"/>
      <x:c r="R136" s="281"/>
      <x:c r="S136" s="281"/>
      <x:c r="T136" s="281"/>
      <x:c r="U136" s="281"/>
      <x:c r="V136" s="281"/>
      <x:c r="W136" s="281"/>
      <x:c r="X136" s="281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281"/>
      <x:c r="B137" s="281"/>
      <x:c r="C137" s="281"/>
      <x:c r="D137" s="281"/>
      <x:c r="E137" s="281"/>
      <x:c r="F137" s="281"/>
      <x:c r="G137" s="281"/>
      <x:c r="H137" s="281"/>
      <x:c r="I137" s="281"/>
      <x:c r="J137" s="281"/>
      <x:c r="K137" s="281"/>
      <x:c r="L137" s="281"/>
      <x:c r="M137" s="281"/>
      <x:c r="N137" s="281"/>
      <x:c r="O137" s="281"/>
      <x:c r="P137" s="281"/>
      <x:c r="Q137" s="281"/>
      <x:c r="R137" s="281"/>
      <x:c r="S137" s="281"/>
      <x:c r="T137" s="281"/>
      <x:c r="U137" s="281"/>
      <x:c r="V137" s="281"/>
      <x:c r="W137" s="281"/>
      <x:c r="X137" s="281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281"/>
      <x:c r="B138" s="281"/>
      <x:c r="C138" s="281"/>
      <x:c r="D138" s="281"/>
      <x:c r="E138" s="281"/>
      <x:c r="F138" s="281"/>
      <x:c r="G138" s="281"/>
      <x:c r="H138" s="281"/>
      <x:c r="I138" s="281"/>
      <x:c r="J138" s="281"/>
      <x:c r="K138" s="281"/>
      <x:c r="L138" s="281"/>
      <x:c r="M138" s="281"/>
      <x:c r="N138" s="281"/>
      <x:c r="O138" s="281"/>
      <x:c r="P138" s="281"/>
      <x:c r="Q138" s="281"/>
      <x:c r="R138" s="281"/>
      <x:c r="S138" s="281"/>
      <x:c r="T138" s="281"/>
      <x:c r="U138" s="281"/>
      <x:c r="V138" s="281"/>
      <x:c r="W138" s="281"/>
      <x:c r="X138" s="281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281"/>
      <x:c r="B139" s="281"/>
      <x:c r="C139" s="281"/>
      <x:c r="D139" s="281"/>
      <x:c r="E139" s="281"/>
      <x:c r="F139" s="281"/>
      <x:c r="G139" s="281"/>
      <x:c r="H139" s="281"/>
      <x:c r="I139" s="281"/>
      <x:c r="J139" s="281"/>
      <x:c r="K139" s="281"/>
      <x:c r="L139" s="281"/>
      <x:c r="M139" s="281"/>
      <x:c r="N139" s="281"/>
      <x:c r="O139" s="281"/>
      <x:c r="P139" s="281"/>
      <x:c r="Q139" s="281"/>
      <x:c r="R139" s="281"/>
      <x:c r="S139" s="281"/>
      <x:c r="T139" s="281"/>
      <x:c r="U139" s="281"/>
      <x:c r="V139" s="281"/>
      <x:c r="W139" s="281"/>
      <x:c r="X139" s="281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281"/>
      <x:c r="B140" s="281"/>
      <x:c r="C140" s="281"/>
      <x:c r="D140" s="281"/>
      <x:c r="E140" s="281"/>
      <x:c r="F140" s="281"/>
      <x:c r="G140" s="281"/>
      <x:c r="H140" s="281"/>
      <x:c r="I140" s="281"/>
      <x:c r="J140" s="281"/>
      <x:c r="K140" s="281"/>
      <x:c r="L140" s="281"/>
      <x:c r="M140" s="281"/>
      <x:c r="N140" s="281"/>
      <x:c r="O140" s="281"/>
      <x:c r="P140" s="281"/>
      <x:c r="Q140" s="281"/>
      <x:c r="R140" s="281"/>
      <x:c r="S140" s="281"/>
      <x:c r="T140" s="281"/>
      <x:c r="U140" s="281"/>
      <x:c r="V140" s="281"/>
      <x:c r="W140" s="281"/>
      <x:c r="X140" s="281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281"/>
      <x:c r="B141" s="281"/>
      <x:c r="C141" s="281"/>
      <x:c r="D141" s="281"/>
      <x:c r="E141" s="281"/>
      <x:c r="F141" s="281"/>
      <x:c r="G141" s="281"/>
      <x:c r="H141" s="281"/>
      <x:c r="I141" s="281"/>
      <x:c r="J141" s="281"/>
      <x:c r="K141" s="281"/>
      <x:c r="L141" s="281"/>
      <x:c r="M141" s="281"/>
      <x:c r="N141" s="281"/>
      <x:c r="O141" s="281"/>
      <x:c r="P141" s="281"/>
      <x:c r="Q141" s="281"/>
      <x:c r="R141" s="281"/>
      <x:c r="S141" s="281"/>
      <x:c r="T141" s="281"/>
      <x:c r="U141" s="281"/>
      <x:c r="V141" s="281"/>
      <x:c r="W141" s="281"/>
      <x:c r="X141" s="281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281"/>
      <x:c r="B142" s="281"/>
      <x:c r="C142" s="281"/>
      <x:c r="D142" s="281"/>
      <x:c r="E142" s="281"/>
      <x:c r="F142" s="281"/>
      <x:c r="G142" s="281"/>
      <x:c r="H142" s="281"/>
      <x:c r="I142" s="281"/>
      <x:c r="J142" s="281"/>
      <x:c r="K142" s="281"/>
      <x:c r="L142" s="281"/>
      <x:c r="M142" s="281"/>
      <x:c r="N142" s="281"/>
      <x:c r="O142" s="281"/>
      <x:c r="P142" s="281"/>
      <x:c r="Q142" s="281"/>
      <x:c r="R142" s="281"/>
      <x:c r="S142" s="281"/>
      <x:c r="T142" s="281"/>
      <x:c r="U142" s="281"/>
      <x:c r="V142" s="281"/>
      <x:c r="W142" s="281"/>
      <x:c r="X142" s="281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281"/>
      <x:c r="B143" s="281"/>
      <x:c r="C143" s="281"/>
      <x:c r="D143" s="281"/>
      <x:c r="E143" s="281"/>
      <x:c r="F143" s="281"/>
      <x:c r="G143" s="281"/>
      <x:c r="H143" s="281"/>
      <x:c r="I143" s="281"/>
      <x:c r="J143" s="281"/>
      <x:c r="K143" s="281"/>
      <x:c r="L143" s="281"/>
      <x:c r="M143" s="281"/>
      <x:c r="N143" s="281"/>
      <x:c r="O143" s="281"/>
      <x:c r="P143" s="281"/>
      <x:c r="Q143" s="281"/>
      <x:c r="R143" s="281"/>
      <x:c r="S143" s="281"/>
      <x:c r="T143" s="281"/>
      <x:c r="U143" s="281"/>
      <x:c r="V143" s="281"/>
      <x:c r="W143" s="281"/>
      <x:c r="X143" s="281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281"/>
      <x:c r="B144" s="281"/>
      <x:c r="C144" s="281"/>
      <x:c r="D144" s="281"/>
      <x:c r="E144" s="281"/>
      <x:c r="F144" s="281"/>
      <x:c r="G144" s="281"/>
      <x:c r="H144" s="281"/>
      <x:c r="I144" s="281"/>
      <x:c r="J144" s="281"/>
      <x:c r="K144" s="281"/>
      <x:c r="L144" s="281"/>
      <x:c r="M144" s="281"/>
      <x:c r="N144" s="281"/>
      <x:c r="O144" s="281"/>
      <x:c r="P144" s="281"/>
      <x:c r="Q144" s="281"/>
      <x:c r="R144" s="281"/>
      <x:c r="S144" s="281"/>
      <x:c r="T144" s="281"/>
      <x:c r="U144" s="281"/>
      <x:c r="V144" s="281"/>
      <x:c r="W144" s="281"/>
      <x:c r="X144" s="281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281"/>
      <x:c r="B145" s="281"/>
      <x:c r="C145" s="281"/>
      <x:c r="D145" s="281"/>
      <x:c r="E145" s="281"/>
      <x:c r="F145" s="281"/>
      <x:c r="G145" s="281"/>
      <x:c r="H145" s="281"/>
      <x:c r="I145" s="281"/>
      <x:c r="J145" s="281"/>
      <x:c r="K145" s="281"/>
      <x:c r="L145" s="281"/>
      <x:c r="M145" s="281"/>
      <x:c r="N145" s="281"/>
      <x:c r="O145" s="281"/>
      <x:c r="P145" s="281"/>
      <x:c r="Q145" s="281"/>
      <x:c r="R145" s="281"/>
      <x:c r="S145" s="281"/>
      <x:c r="T145" s="281"/>
      <x:c r="U145" s="281"/>
      <x:c r="V145" s="281"/>
      <x:c r="W145" s="281"/>
      <x:c r="X145" s="281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281"/>
      <x:c r="B146" s="281"/>
      <x:c r="C146" s="281"/>
      <x:c r="D146" s="281"/>
      <x:c r="E146" s="281"/>
      <x:c r="F146" s="281"/>
      <x:c r="G146" s="281"/>
      <x:c r="H146" s="281"/>
      <x:c r="I146" s="281"/>
      <x:c r="J146" s="281"/>
      <x:c r="K146" s="281"/>
      <x:c r="L146" s="281"/>
      <x:c r="M146" s="281"/>
      <x:c r="N146" s="281"/>
      <x:c r="O146" s="281"/>
      <x:c r="P146" s="281"/>
      <x:c r="Q146" s="281"/>
      <x:c r="R146" s="281"/>
      <x:c r="S146" s="281"/>
      <x:c r="T146" s="281"/>
      <x:c r="U146" s="281"/>
      <x:c r="V146" s="281"/>
      <x:c r="W146" s="281"/>
      <x:c r="X146" s="281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281"/>
      <x:c r="B147" s="281"/>
      <x:c r="C147" s="281"/>
      <x:c r="D147" s="281"/>
      <x:c r="E147" s="281"/>
      <x:c r="F147" s="281"/>
      <x:c r="G147" s="281"/>
      <x:c r="H147" s="281"/>
      <x:c r="I147" s="281"/>
      <x:c r="J147" s="281"/>
      <x:c r="K147" s="281"/>
      <x:c r="L147" s="281"/>
      <x:c r="M147" s="281"/>
      <x:c r="N147" s="281"/>
      <x:c r="O147" s="281"/>
      <x:c r="P147" s="281"/>
      <x:c r="Q147" s="281"/>
      <x:c r="R147" s="281"/>
      <x:c r="S147" s="281"/>
      <x:c r="T147" s="281"/>
      <x:c r="U147" s="281"/>
      <x:c r="V147" s="281"/>
      <x:c r="W147" s="281"/>
      <x:c r="X147" s="281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281"/>
      <x:c r="B148" s="281"/>
      <x:c r="C148" s="281"/>
      <x:c r="D148" s="281"/>
      <x:c r="E148" s="281"/>
      <x:c r="F148" s="281"/>
      <x:c r="G148" s="281"/>
      <x:c r="H148" s="281"/>
      <x:c r="I148" s="281"/>
      <x:c r="J148" s="281"/>
      <x:c r="K148" s="281"/>
      <x:c r="L148" s="281"/>
      <x:c r="M148" s="281"/>
      <x:c r="N148" s="281"/>
      <x:c r="O148" s="281"/>
      <x:c r="P148" s="281"/>
      <x:c r="Q148" s="281"/>
      <x:c r="R148" s="281"/>
      <x:c r="S148" s="281"/>
      <x:c r="T148" s="281"/>
      <x:c r="U148" s="281"/>
      <x:c r="V148" s="281"/>
      <x:c r="W148" s="281"/>
      <x:c r="X148" s="281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281"/>
      <x:c r="B149" s="281"/>
      <x:c r="C149" s="281"/>
      <x:c r="D149" s="281"/>
      <x:c r="E149" s="281"/>
      <x:c r="F149" s="281"/>
      <x:c r="G149" s="281"/>
      <x:c r="H149" s="281"/>
      <x:c r="I149" s="281"/>
      <x:c r="J149" s="281"/>
      <x:c r="K149" s="281"/>
      <x:c r="L149" s="281"/>
      <x:c r="M149" s="281"/>
      <x:c r="N149" s="281"/>
      <x:c r="O149" s="281"/>
      <x:c r="P149" s="281"/>
      <x:c r="Q149" s="281"/>
      <x:c r="R149" s="281"/>
      <x:c r="S149" s="281"/>
      <x:c r="T149" s="281"/>
      <x:c r="U149" s="281"/>
      <x:c r="V149" s="281"/>
      <x:c r="W149" s="281"/>
      <x:c r="X149" s="281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281"/>
      <x:c r="B150" s="281"/>
      <x:c r="C150" s="281"/>
      <x:c r="D150" s="281"/>
      <x:c r="E150" s="281"/>
      <x:c r="F150" s="281"/>
      <x:c r="G150" s="281"/>
      <x:c r="H150" s="281"/>
      <x:c r="I150" s="281"/>
      <x:c r="J150" s="281"/>
      <x:c r="K150" s="281"/>
      <x:c r="L150" s="281"/>
      <x:c r="M150" s="281"/>
      <x:c r="N150" s="281"/>
      <x:c r="O150" s="281"/>
      <x:c r="P150" s="281"/>
      <x:c r="Q150" s="281"/>
      <x:c r="R150" s="281"/>
      <x:c r="S150" s="281"/>
      <x:c r="T150" s="281"/>
      <x:c r="U150" s="281"/>
      <x:c r="V150" s="281"/>
      <x:c r="W150" s="281"/>
      <x:c r="X150" s="281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281"/>
      <x:c r="B151" s="281"/>
      <x:c r="C151" s="281"/>
      <x:c r="D151" s="281"/>
      <x:c r="E151" s="281"/>
      <x:c r="F151" s="281"/>
      <x:c r="G151" s="281"/>
      <x:c r="H151" s="281"/>
      <x:c r="I151" s="281"/>
      <x:c r="J151" s="281"/>
      <x:c r="K151" s="281"/>
      <x:c r="L151" s="281"/>
      <x:c r="M151" s="281"/>
      <x:c r="N151" s="281"/>
      <x:c r="O151" s="281"/>
      <x:c r="P151" s="281"/>
      <x:c r="Q151" s="281"/>
      <x:c r="R151" s="281"/>
      <x:c r="S151" s="281"/>
      <x:c r="T151" s="281"/>
      <x:c r="U151" s="281"/>
      <x:c r="V151" s="281"/>
      <x:c r="W151" s="281"/>
      <x:c r="X151" s="281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281"/>
      <x:c r="B152" s="281"/>
      <x:c r="C152" s="281"/>
      <x:c r="D152" s="281"/>
      <x:c r="E152" s="281"/>
      <x:c r="F152" s="281"/>
      <x:c r="G152" s="281"/>
      <x:c r="H152" s="281"/>
      <x:c r="I152" s="281"/>
      <x:c r="J152" s="281"/>
      <x:c r="K152" s="281"/>
      <x:c r="L152" s="281"/>
      <x:c r="M152" s="281"/>
      <x:c r="N152" s="281"/>
      <x:c r="O152" s="281"/>
      <x:c r="P152" s="281"/>
      <x:c r="Q152" s="281"/>
      <x:c r="R152" s="281"/>
      <x:c r="S152" s="281"/>
      <x:c r="T152" s="281"/>
      <x:c r="U152" s="281"/>
      <x:c r="V152" s="281"/>
      <x:c r="W152" s="281"/>
      <x:c r="X152" s="281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281"/>
      <x:c r="B153" s="281"/>
      <x:c r="C153" s="281"/>
      <x:c r="D153" s="281"/>
      <x:c r="E153" s="281"/>
      <x:c r="F153" s="281"/>
      <x:c r="G153" s="281"/>
      <x:c r="H153" s="281"/>
      <x:c r="I153" s="281"/>
      <x:c r="J153" s="281"/>
      <x:c r="K153" s="281"/>
      <x:c r="L153" s="281"/>
      <x:c r="M153" s="281"/>
      <x:c r="N153" s="281"/>
      <x:c r="O153" s="281"/>
      <x:c r="P153" s="281"/>
      <x:c r="Q153" s="281"/>
      <x:c r="R153" s="281"/>
      <x:c r="S153" s="281"/>
      <x:c r="T153" s="281"/>
      <x:c r="U153" s="281"/>
      <x:c r="V153" s="281"/>
      <x:c r="W153" s="281"/>
      <x:c r="X153" s="281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281"/>
      <x:c r="B154" s="281"/>
      <x:c r="C154" s="281"/>
      <x:c r="D154" s="281"/>
      <x:c r="E154" s="281"/>
      <x:c r="F154" s="281"/>
      <x:c r="G154" s="281"/>
      <x:c r="H154" s="281"/>
      <x:c r="I154" s="281"/>
      <x:c r="J154" s="281"/>
      <x:c r="K154" s="281"/>
      <x:c r="L154" s="281"/>
      <x:c r="M154" s="281"/>
      <x:c r="N154" s="281"/>
      <x:c r="O154" s="281"/>
      <x:c r="P154" s="281"/>
      <x:c r="Q154" s="281"/>
      <x:c r="R154" s="281"/>
      <x:c r="S154" s="281"/>
      <x:c r="T154" s="281"/>
      <x:c r="U154" s="281"/>
      <x:c r="V154" s="281"/>
      <x:c r="W154" s="281"/>
      <x:c r="X154" s="281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281"/>
      <x:c r="B155" s="281"/>
      <x:c r="C155" s="281"/>
      <x:c r="D155" s="281"/>
      <x:c r="E155" s="281"/>
      <x:c r="F155" s="281"/>
      <x:c r="G155" s="281"/>
      <x:c r="H155" s="281"/>
      <x:c r="I155" s="281"/>
      <x:c r="J155" s="281"/>
      <x:c r="K155" s="281"/>
      <x:c r="L155" s="281"/>
      <x:c r="M155" s="281"/>
      <x:c r="N155" s="281"/>
      <x:c r="O155" s="281"/>
      <x:c r="P155" s="281"/>
      <x:c r="Q155" s="281"/>
      <x:c r="R155" s="281"/>
      <x:c r="S155" s="281"/>
      <x:c r="T155" s="281"/>
      <x:c r="U155" s="281"/>
      <x:c r="V155" s="281"/>
      <x:c r="W155" s="281"/>
      <x:c r="X155" s="281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281"/>
      <x:c r="B156" s="281"/>
      <x:c r="C156" s="281"/>
      <x:c r="D156" s="281"/>
      <x:c r="E156" s="281"/>
      <x:c r="F156" s="281"/>
      <x:c r="G156" s="281"/>
      <x:c r="H156" s="281"/>
      <x:c r="I156" s="281"/>
      <x:c r="J156" s="281"/>
      <x:c r="K156" s="281"/>
      <x:c r="L156" s="281"/>
      <x:c r="M156" s="281"/>
      <x:c r="N156" s="281"/>
      <x:c r="O156" s="281"/>
      <x:c r="P156" s="281"/>
      <x:c r="Q156" s="281"/>
      <x:c r="R156" s="281"/>
      <x:c r="S156" s="281"/>
      <x:c r="T156" s="281"/>
      <x:c r="U156" s="281"/>
      <x:c r="V156" s="281"/>
      <x:c r="W156" s="281"/>
      <x:c r="X156" s="281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281"/>
      <x:c r="B157" s="281"/>
      <x:c r="C157" s="281"/>
      <x:c r="D157" s="281"/>
      <x:c r="E157" s="281"/>
      <x:c r="F157" s="281"/>
      <x:c r="G157" s="281"/>
      <x:c r="H157" s="281"/>
      <x:c r="I157" s="281"/>
      <x:c r="J157" s="281"/>
      <x:c r="K157" s="281"/>
      <x:c r="L157" s="281"/>
      <x:c r="M157" s="281"/>
      <x:c r="N157" s="281"/>
      <x:c r="O157" s="281"/>
      <x:c r="P157" s="281"/>
      <x:c r="Q157" s="281"/>
      <x:c r="R157" s="281"/>
      <x:c r="S157" s="281"/>
      <x:c r="T157" s="281"/>
      <x:c r="U157" s="281"/>
      <x:c r="V157" s="281"/>
      <x:c r="W157" s="281"/>
      <x:c r="X157" s="281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281"/>
      <x:c r="B158" s="281"/>
      <x:c r="C158" s="281"/>
      <x:c r="D158" s="281"/>
      <x:c r="E158" s="281"/>
      <x:c r="F158" s="281"/>
      <x:c r="G158" s="281"/>
      <x:c r="H158" s="281"/>
      <x:c r="I158" s="281"/>
      <x:c r="J158" s="281"/>
      <x:c r="K158" s="281"/>
      <x:c r="L158" s="281"/>
      <x:c r="M158" s="281"/>
      <x:c r="N158" s="281"/>
      <x:c r="O158" s="281"/>
      <x:c r="P158" s="281"/>
      <x:c r="Q158" s="281"/>
      <x:c r="R158" s="281"/>
      <x:c r="S158" s="281"/>
      <x:c r="T158" s="281"/>
      <x:c r="U158" s="281"/>
      <x:c r="V158" s="281"/>
      <x:c r="W158" s="281"/>
      <x:c r="X158" s="281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281"/>
      <x:c r="B159" s="281"/>
      <x:c r="C159" s="281"/>
      <x:c r="D159" s="281"/>
      <x:c r="E159" s="281"/>
      <x:c r="F159" s="281"/>
      <x:c r="G159" s="281"/>
      <x:c r="H159" s="281"/>
      <x:c r="I159" s="281"/>
      <x:c r="J159" s="281"/>
      <x:c r="K159" s="281"/>
      <x:c r="L159" s="281"/>
      <x:c r="M159" s="281"/>
      <x:c r="N159" s="281"/>
      <x:c r="O159" s="281"/>
      <x:c r="P159" s="281"/>
      <x:c r="Q159" s="281"/>
      <x:c r="R159" s="281"/>
      <x:c r="S159" s="281"/>
      <x:c r="T159" s="281"/>
      <x:c r="U159" s="281"/>
      <x:c r="V159" s="281"/>
      <x:c r="W159" s="281"/>
      <x:c r="X159" s="281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281"/>
      <x:c r="B160" s="281"/>
      <x:c r="C160" s="281"/>
      <x:c r="D160" s="281"/>
      <x:c r="E160" s="281"/>
      <x:c r="F160" s="281"/>
      <x:c r="G160" s="281"/>
      <x:c r="H160" s="281"/>
      <x:c r="I160" s="281"/>
      <x:c r="J160" s="281"/>
      <x:c r="K160" s="281"/>
      <x:c r="L160" s="281"/>
      <x:c r="M160" s="281"/>
      <x:c r="N160" s="281"/>
      <x:c r="O160" s="281"/>
      <x:c r="P160" s="281"/>
      <x:c r="Q160" s="281"/>
      <x:c r="R160" s="281"/>
      <x:c r="S160" s="281"/>
      <x:c r="T160" s="281"/>
      <x:c r="U160" s="281"/>
      <x:c r="V160" s="281"/>
      <x:c r="W160" s="281"/>
      <x:c r="X160" s="281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281"/>
      <x:c r="B161" s="281"/>
      <x:c r="C161" s="281"/>
      <x:c r="D161" s="281"/>
      <x:c r="E161" s="281"/>
      <x:c r="F161" s="281"/>
      <x:c r="G161" s="281"/>
      <x:c r="H161" s="281"/>
      <x:c r="I161" s="281"/>
      <x:c r="J161" s="281"/>
      <x:c r="K161" s="281"/>
      <x:c r="L161" s="281"/>
      <x:c r="M161" s="281"/>
      <x:c r="N161" s="281"/>
      <x:c r="O161" s="281"/>
      <x:c r="P161" s="281"/>
      <x:c r="Q161" s="281"/>
      <x:c r="R161" s="281"/>
      <x:c r="S161" s="281"/>
      <x:c r="T161" s="281"/>
      <x:c r="U161" s="281"/>
      <x:c r="V161" s="281"/>
      <x:c r="W161" s="281"/>
      <x:c r="X161" s="281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281"/>
      <x:c r="B162" s="281"/>
      <x:c r="C162" s="281"/>
      <x:c r="D162" s="281"/>
      <x:c r="E162" s="281"/>
      <x:c r="F162" s="281"/>
      <x:c r="G162" s="281"/>
      <x:c r="H162" s="281"/>
      <x:c r="I162" s="281"/>
      <x:c r="J162" s="281"/>
      <x:c r="K162" s="281"/>
      <x:c r="L162" s="281"/>
      <x:c r="M162" s="281"/>
      <x:c r="N162" s="281"/>
      <x:c r="O162" s="281"/>
      <x:c r="P162" s="281"/>
      <x:c r="Q162" s="281"/>
      <x:c r="R162" s="281"/>
      <x:c r="S162" s="281"/>
      <x:c r="T162" s="281"/>
      <x:c r="U162" s="281"/>
      <x:c r="V162" s="281"/>
      <x:c r="W162" s="281"/>
      <x:c r="X162" s="281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281"/>
      <x:c r="B163" s="281"/>
      <x:c r="C163" s="281"/>
      <x:c r="D163" s="281"/>
      <x:c r="E163" s="281"/>
      <x:c r="F163" s="281"/>
      <x:c r="G163" s="281"/>
      <x:c r="H163" s="281"/>
      <x:c r="I163" s="281"/>
      <x:c r="J163" s="281"/>
      <x:c r="K163" s="281"/>
      <x:c r="L163" s="281"/>
      <x:c r="M163" s="281"/>
      <x:c r="N163" s="281"/>
      <x:c r="O163" s="281"/>
      <x:c r="P163" s="281"/>
      <x:c r="Q163" s="281"/>
      <x:c r="R163" s="281"/>
      <x:c r="S163" s="281"/>
      <x:c r="T163" s="281"/>
      <x:c r="U163" s="281"/>
      <x:c r="V163" s="281"/>
      <x:c r="W163" s="281"/>
      <x:c r="X163" s="281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281"/>
      <x:c r="B164" s="281"/>
      <x:c r="C164" s="281"/>
      <x:c r="D164" s="281"/>
      <x:c r="E164" s="281"/>
      <x:c r="F164" s="281"/>
      <x:c r="G164" s="281"/>
      <x:c r="H164" s="281"/>
      <x:c r="I164" s="281"/>
      <x:c r="J164" s="281"/>
      <x:c r="K164" s="281"/>
      <x:c r="L164" s="281"/>
      <x:c r="M164" s="281"/>
      <x:c r="N164" s="281"/>
      <x:c r="O164" s="281"/>
      <x:c r="P164" s="281"/>
      <x:c r="Q164" s="281"/>
      <x:c r="R164" s="281"/>
      <x:c r="S164" s="281"/>
      <x:c r="T164" s="281"/>
      <x:c r="U164" s="281"/>
      <x:c r="V164" s="281"/>
      <x:c r="W164" s="281"/>
      <x:c r="X164" s="281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281"/>
      <x:c r="B165" s="281"/>
      <x:c r="C165" s="281"/>
      <x:c r="D165" s="281"/>
      <x:c r="E165" s="281"/>
      <x:c r="F165" s="281"/>
      <x:c r="G165" s="281"/>
      <x:c r="H165" s="281"/>
      <x:c r="I165" s="281"/>
      <x:c r="J165" s="281"/>
      <x:c r="K165" s="281"/>
      <x:c r="L165" s="281"/>
      <x:c r="M165" s="281"/>
      <x:c r="N165" s="281"/>
      <x:c r="O165" s="281"/>
      <x:c r="P165" s="281"/>
      <x:c r="Q165" s="281"/>
      <x:c r="R165" s="281"/>
      <x:c r="S165" s="281"/>
      <x:c r="T165" s="281"/>
      <x:c r="U165" s="281"/>
      <x:c r="V165" s="281"/>
      <x:c r="W165" s="281"/>
      <x:c r="X165" s="281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281"/>
      <x:c r="B166" s="281"/>
      <x:c r="C166" s="281"/>
      <x:c r="D166" s="281"/>
      <x:c r="E166" s="281"/>
      <x:c r="F166" s="281"/>
      <x:c r="G166" s="281"/>
      <x:c r="H166" s="281"/>
      <x:c r="I166" s="281"/>
      <x:c r="J166" s="281"/>
      <x:c r="K166" s="281"/>
      <x:c r="L166" s="281"/>
      <x:c r="M166" s="281"/>
      <x:c r="N166" s="281"/>
      <x:c r="O166" s="281"/>
      <x:c r="P166" s="281"/>
      <x:c r="Q166" s="281"/>
      <x:c r="R166" s="281"/>
      <x:c r="S166" s="281"/>
      <x:c r="T166" s="281"/>
      <x:c r="U166" s="281"/>
      <x:c r="V166" s="281"/>
      <x:c r="W166" s="281"/>
      <x:c r="X166" s="281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281"/>
      <x:c r="B167" s="281"/>
      <x:c r="C167" s="281"/>
      <x:c r="D167" s="281"/>
      <x:c r="E167" s="281"/>
      <x:c r="F167" s="281"/>
      <x:c r="G167" s="281"/>
      <x:c r="H167" s="281"/>
      <x:c r="I167" s="281"/>
      <x:c r="J167" s="281"/>
      <x:c r="K167" s="281"/>
      <x:c r="L167" s="281"/>
      <x:c r="M167" s="281"/>
      <x:c r="N167" s="281"/>
      <x:c r="O167" s="281"/>
      <x:c r="P167" s="281"/>
      <x:c r="Q167" s="281"/>
      <x:c r="R167" s="281"/>
      <x:c r="S167" s="281"/>
      <x:c r="T167" s="281"/>
      <x:c r="U167" s="281"/>
      <x:c r="V167" s="281"/>
      <x:c r="W167" s="281"/>
      <x:c r="X167" s="281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281"/>
      <x:c r="B168" s="281"/>
      <x:c r="C168" s="281"/>
      <x:c r="D168" s="281"/>
      <x:c r="E168" s="281"/>
      <x:c r="F168" s="281"/>
      <x:c r="G168" s="281"/>
      <x:c r="H168" s="281"/>
      <x:c r="I168" s="281"/>
      <x:c r="J168" s="281"/>
      <x:c r="K168" s="281"/>
      <x:c r="L168" s="281"/>
      <x:c r="M168" s="281"/>
      <x:c r="N168" s="281"/>
      <x:c r="O168" s="281"/>
      <x:c r="P168" s="281"/>
      <x:c r="Q168" s="281"/>
      <x:c r="R168" s="281"/>
      <x:c r="S168" s="281"/>
      <x:c r="T168" s="281"/>
      <x:c r="U168" s="281"/>
      <x:c r="V168" s="281"/>
      <x:c r="W168" s="281"/>
      <x:c r="X168" s="281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281"/>
      <x:c r="B169" s="281"/>
      <x:c r="C169" s="281"/>
      <x:c r="D169" s="281"/>
      <x:c r="E169" s="281"/>
      <x:c r="F169" s="281"/>
      <x:c r="G169" s="281"/>
      <x:c r="H169" s="281"/>
      <x:c r="I169" s="281"/>
      <x:c r="J169" s="281"/>
      <x:c r="K169" s="281"/>
      <x:c r="L169" s="281"/>
      <x:c r="M169" s="281"/>
      <x:c r="N169" s="281"/>
      <x:c r="O169" s="281"/>
      <x:c r="P169" s="281"/>
      <x:c r="Q169" s="281"/>
      <x:c r="R169" s="281"/>
      <x:c r="S169" s="281"/>
      <x:c r="T169" s="281"/>
      <x:c r="U169" s="281"/>
      <x:c r="V169" s="281"/>
      <x:c r="W169" s="281"/>
      <x:c r="X169" s="281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281"/>
      <x:c r="B170" s="281"/>
      <x:c r="C170" s="281"/>
      <x:c r="D170" s="281"/>
      <x:c r="E170" s="281"/>
      <x:c r="F170" s="281"/>
      <x:c r="G170" s="281"/>
      <x:c r="H170" s="281"/>
      <x:c r="I170" s="281"/>
      <x:c r="J170" s="281"/>
      <x:c r="K170" s="281"/>
      <x:c r="L170" s="281"/>
      <x:c r="M170" s="281"/>
      <x:c r="N170" s="281"/>
      <x:c r="O170" s="281"/>
      <x:c r="P170" s="281"/>
      <x:c r="Q170" s="281"/>
      <x:c r="R170" s="281"/>
      <x:c r="S170" s="281"/>
      <x:c r="T170" s="281"/>
      <x:c r="U170" s="281"/>
      <x:c r="V170" s="281"/>
      <x:c r="W170" s="281"/>
      <x:c r="X170" s="281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281"/>
      <x:c r="B171" s="281"/>
      <x:c r="C171" s="281"/>
      <x:c r="D171" s="281"/>
      <x:c r="E171" s="281"/>
      <x:c r="F171" s="281"/>
      <x:c r="G171" s="281"/>
      <x:c r="H171" s="281"/>
      <x:c r="I171" s="281"/>
      <x:c r="J171" s="281"/>
      <x:c r="K171" s="281"/>
      <x:c r="L171" s="281"/>
      <x:c r="M171" s="281"/>
      <x:c r="N171" s="281"/>
      <x:c r="O171" s="281"/>
      <x:c r="P171" s="281"/>
      <x:c r="Q171" s="281"/>
      <x:c r="R171" s="281"/>
      <x:c r="S171" s="281"/>
      <x:c r="T171" s="281"/>
      <x:c r="U171" s="281"/>
      <x:c r="V171" s="281"/>
      <x:c r="W171" s="281"/>
      <x:c r="X171" s="281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281"/>
      <x:c r="B172" s="281"/>
      <x:c r="C172" s="281"/>
      <x:c r="D172" s="281"/>
      <x:c r="E172" s="281"/>
      <x:c r="F172" s="281"/>
      <x:c r="G172" s="281"/>
      <x:c r="H172" s="281"/>
      <x:c r="I172" s="281"/>
      <x:c r="J172" s="281"/>
      <x:c r="K172" s="281"/>
      <x:c r="L172" s="281"/>
      <x:c r="M172" s="281"/>
      <x:c r="N172" s="281"/>
      <x:c r="O172" s="281"/>
      <x:c r="P172" s="281"/>
      <x:c r="Q172" s="281"/>
      <x:c r="R172" s="281"/>
      <x:c r="S172" s="281"/>
      <x:c r="T172" s="281"/>
      <x:c r="U172" s="281"/>
      <x:c r="V172" s="281"/>
      <x:c r="W172" s="281"/>
      <x:c r="X172" s="281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281"/>
      <x:c r="B173" s="281"/>
      <x:c r="C173" s="281"/>
      <x:c r="D173" s="281"/>
      <x:c r="E173" s="281"/>
      <x:c r="F173" s="281"/>
      <x:c r="G173" s="281"/>
      <x:c r="H173" s="281"/>
      <x:c r="I173" s="281"/>
      <x:c r="J173" s="281"/>
      <x:c r="K173" s="281"/>
      <x:c r="L173" s="281"/>
      <x:c r="M173" s="281"/>
      <x:c r="N173" s="281"/>
      <x:c r="O173" s="281"/>
      <x:c r="P173" s="281"/>
      <x:c r="Q173" s="281"/>
      <x:c r="R173" s="281"/>
      <x:c r="S173" s="281"/>
      <x:c r="T173" s="281"/>
      <x:c r="U173" s="281"/>
      <x:c r="V173" s="281"/>
      <x:c r="W173" s="281"/>
      <x:c r="X173" s="281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281"/>
      <x:c r="B174" s="281"/>
      <x:c r="C174" s="281"/>
      <x:c r="D174" s="281"/>
      <x:c r="E174" s="281"/>
      <x:c r="F174" s="281"/>
      <x:c r="G174" s="281"/>
      <x:c r="H174" s="281"/>
      <x:c r="I174" s="281"/>
      <x:c r="J174" s="281"/>
      <x:c r="K174" s="281"/>
      <x:c r="L174" s="281"/>
      <x:c r="M174" s="281"/>
      <x:c r="N174" s="281"/>
      <x:c r="O174" s="281"/>
      <x:c r="P174" s="281"/>
      <x:c r="Q174" s="281"/>
      <x:c r="R174" s="281"/>
      <x:c r="S174" s="281"/>
      <x:c r="T174" s="281"/>
      <x:c r="U174" s="281"/>
      <x:c r="V174" s="281"/>
      <x:c r="W174" s="281"/>
      <x:c r="X174" s="281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281"/>
      <x:c r="B175" s="281"/>
      <x:c r="C175" s="281"/>
      <x:c r="D175" s="281"/>
      <x:c r="E175" s="281"/>
      <x:c r="F175" s="281"/>
      <x:c r="G175" s="281"/>
      <x:c r="H175" s="281"/>
      <x:c r="I175" s="281"/>
      <x:c r="J175" s="281"/>
      <x:c r="K175" s="281"/>
      <x:c r="L175" s="281"/>
      <x:c r="M175" s="281"/>
      <x:c r="N175" s="281"/>
      <x:c r="O175" s="281"/>
      <x:c r="P175" s="281"/>
      <x:c r="Q175" s="281"/>
      <x:c r="R175" s="281"/>
      <x:c r="S175" s="281"/>
      <x:c r="T175" s="281"/>
      <x:c r="U175" s="281"/>
      <x:c r="V175" s="281"/>
      <x:c r="W175" s="281"/>
      <x:c r="X175" s="281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281"/>
      <x:c r="B176" s="281"/>
      <x:c r="C176" s="281"/>
      <x:c r="D176" s="281"/>
      <x:c r="E176" s="281"/>
      <x:c r="F176" s="281"/>
      <x:c r="G176" s="281"/>
      <x:c r="H176" s="281"/>
      <x:c r="I176" s="281"/>
      <x:c r="J176" s="281"/>
      <x:c r="K176" s="281"/>
      <x:c r="L176" s="281"/>
      <x:c r="M176" s="281"/>
      <x:c r="N176" s="281"/>
      <x:c r="O176" s="281"/>
      <x:c r="P176" s="281"/>
      <x:c r="Q176" s="281"/>
      <x:c r="R176" s="281"/>
      <x:c r="S176" s="281"/>
      <x:c r="T176" s="281"/>
      <x:c r="U176" s="281"/>
      <x:c r="V176" s="281"/>
      <x:c r="W176" s="281"/>
      <x:c r="X176" s="281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281"/>
      <x:c r="B177" s="281"/>
      <x:c r="C177" s="281"/>
      <x:c r="D177" s="281"/>
      <x:c r="E177" s="281"/>
      <x:c r="F177" s="281"/>
      <x:c r="G177" s="281"/>
      <x:c r="H177" s="281"/>
      <x:c r="I177" s="281"/>
      <x:c r="J177" s="281"/>
      <x:c r="K177" s="281"/>
      <x:c r="L177" s="281"/>
      <x:c r="M177" s="281"/>
      <x:c r="N177" s="281"/>
      <x:c r="O177" s="281"/>
      <x:c r="P177" s="281"/>
      <x:c r="Q177" s="281"/>
      <x:c r="R177" s="281"/>
      <x:c r="S177" s="281"/>
      <x:c r="T177" s="281"/>
      <x:c r="U177" s="281"/>
      <x:c r="V177" s="281"/>
      <x:c r="W177" s="281"/>
      <x:c r="X177" s="281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281"/>
      <x:c r="B178" s="281"/>
      <x:c r="C178" s="281"/>
      <x:c r="D178" s="281"/>
      <x:c r="E178" s="281"/>
      <x:c r="F178" s="281"/>
      <x:c r="G178" s="281"/>
      <x:c r="H178" s="281"/>
      <x:c r="I178" s="281"/>
      <x:c r="J178" s="281"/>
      <x:c r="K178" s="281"/>
      <x:c r="L178" s="281"/>
      <x:c r="M178" s="281"/>
      <x:c r="N178" s="281"/>
      <x:c r="O178" s="281"/>
      <x:c r="P178" s="281"/>
      <x:c r="Q178" s="281"/>
      <x:c r="R178" s="281"/>
      <x:c r="S178" s="281"/>
      <x:c r="T178" s="281"/>
      <x:c r="U178" s="281"/>
      <x:c r="V178" s="281"/>
      <x:c r="W178" s="281"/>
      <x:c r="X178" s="281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281"/>
      <x:c r="B179" s="281"/>
      <x:c r="C179" s="281"/>
      <x:c r="D179" s="281"/>
      <x:c r="E179" s="281"/>
      <x:c r="F179" s="281"/>
      <x:c r="G179" s="281"/>
      <x:c r="H179" s="281"/>
      <x:c r="I179" s="281"/>
      <x:c r="J179" s="281"/>
      <x:c r="K179" s="281"/>
      <x:c r="L179" s="281"/>
      <x:c r="M179" s="281"/>
      <x:c r="N179" s="281"/>
      <x:c r="O179" s="281"/>
      <x:c r="P179" s="281"/>
      <x:c r="Q179" s="281"/>
      <x:c r="R179" s="281"/>
      <x:c r="S179" s="281"/>
      <x:c r="T179" s="281"/>
      <x:c r="U179" s="281"/>
      <x:c r="V179" s="281"/>
      <x:c r="W179" s="281"/>
      <x:c r="X179" s="281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281"/>
      <x:c r="B180" s="281"/>
      <x:c r="C180" s="281"/>
      <x:c r="D180" s="281"/>
      <x:c r="E180" s="281"/>
      <x:c r="F180" s="281"/>
      <x:c r="G180" s="281"/>
      <x:c r="H180" s="281"/>
      <x:c r="I180" s="281"/>
      <x:c r="J180" s="281"/>
      <x:c r="K180" s="281"/>
      <x:c r="L180" s="281"/>
      <x:c r="M180" s="281"/>
      <x:c r="N180" s="281"/>
      <x:c r="O180" s="281"/>
      <x:c r="P180" s="281"/>
      <x:c r="Q180" s="281"/>
      <x:c r="R180" s="281"/>
      <x:c r="S180" s="281"/>
      <x:c r="T180" s="281"/>
      <x:c r="U180" s="281"/>
      <x:c r="V180" s="281"/>
      <x:c r="W180" s="281"/>
      <x:c r="X180" s="281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281"/>
      <x:c r="B181" s="281"/>
      <x:c r="C181" s="281"/>
      <x:c r="D181" s="281"/>
      <x:c r="E181" s="281"/>
      <x:c r="F181" s="281"/>
      <x:c r="G181" s="281"/>
      <x:c r="H181" s="281"/>
      <x:c r="I181" s="281"/>
      <x:c r="J181" s="281"/>
      <x:c r="K181" s="281"/>
      <x:c r="L181" s="281"/>
      <x:c r="M181" s="281"/>
      <x:c r="N181" s="281"/>
      <x:c r="O181" s="281"/>
      <x:c r="P181" s="281"/>
      <x:c r="Q181" s="281"/>
      <x:c r="R181" s="281"/>
      <x:c r="S181" s="281"/>
      <x:c r="T181" s="281"/>
      <x:c r="U181" s="281"/>
      <x:c r="V181" s="281"/>
      <x:c r="W181" s="281"/>
      <x:c r="X181" s="281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281"/>
      <x:c r="B182" s="281"/>
      <x:c r="C182" s="281"/>
      <x:c r="D182" s="281"/>
      <x:c r="E182" s="281"/>
      <x:c r="F182" s="281"/>
      <x:c r="G182" s="281"/>
      <x:c r="H182" s="281"/>
      <x:c r="I182" s="281"/>
      <x:c r="J182" s="281"/>
      <x:c r="K182" s="281"/>
      <x:c r="L182" s="281"/>
      <x:c r="M182" s="281"/>
      <x:c r="N182" s="281"/>
      <x:c r="O182" s="281"/>
      <x:c r="P182" s="281"/>
      <x:c r="Q182" s="281"/>
      <x:c r="R182" s="281"/>
      <x:c r="S182" s="281"/>
      <x:c r="T182" s="281"/>
      <x:c r="U182" s="281"/>
      <x:c r="V182" s="281"/>
      <x:c r="W182" s="281"/>
      <x:c r="X182" s="281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281"/>
      <x:c r="B183" s="281"/>
      <x:c r="C183" s="281"/>
      <x:c r="D183" s="281"/>
      <x:c r="E183" s="281"/>
      <x:c r="F183" s="281"/>
      <x:c r="G183" s="281"/>
      <x:c r="H183" s="281"/>
      <x:c r="I183" s="281"/>
      <x:c r="J183" s="281"/>
      <x:c r="K183" s="281"/>
      <x:c r="L183" s="281"/>
      <x:c r="M183" s="281"/>
      <x:c r="N183" s="281"/>
      <x:c r="O183" s="281"/>
      <x:c r="P183" s="281"/>
      <x:c r="Q183" s="281"/>
      <x:c r="R183" s="281"/>
      <x:c r="S183" s="281"/>
      <x:c r="T183" s="281"/>
      <x:c r="U183" s="281"/>
      <x:c r="V183" s="281"/>
      <x:c r="W183" s="281"/>
      <x:c r="X183" s="281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281"/>
      <x:c r="B184" s="281"/>
      <x:c r="C184" s="281"/>
      <x:c r="D184" s="281"/>
      <x:c r="E184" s="281"/>
      <x:c r="F184" s="281"/>
      <x:c r="G184" s="281"/>
      <x:c r="H184" s="281"/>
      <x:c r="I184" s="281"/>
      <x:c r="J184" s="281"/>
      <x:c r="K184" s="281"/>
      <x:c r="L184" s="281"/>
      <x:c r="M184" s="281"/>
      <x:c r="N184" s="281"/>
      <x:c r="O184" s="281"/>
      <x:c r="P184" s="281"/>
      <x:c r="Q184" s="281"/>
      <x:c r="R184" s="281"/>
      <x:c r="S184" s="281"/>
      <x:c r="T184" s="281"/>
      <x:c r="U184" s="281"/>
      <x:c r="V184" s="281"/>
      <x:c r="W184" s="281"/>
      <x:c r="X184" s="281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281"/>
      <x:c r="B185" s="281"/>
      <x:c r="C185" s="281"/>
      <x:c r="D185" s="281"/>
      <x:c r="E185" s="281"/>
      <x:c r="F185" s="281"/>
      <x:c r="G185" s="281"/>
      <x:c r="H185" s="281"/>
      <x:c r="I185" s="281"/>
      <x:c r="J185" s="281"/>
      <x:c r="K185" s="281"/>
      <x:c r="L185" s="281"/>
      <x:c r="M185" s="281"/>
      <x:c r="N185" s="281"/>
      <x:c r="O185" s="281"/>
      <x:c r="P185" s="281"/>
      <x:c r="Q185" s="281"/>
      <x:c r="R185" s="281"/>
      <x:c r="S185" s="281"/>
      <x:c r="T185" s="281"/>
      <x:c r="U185" s="281"/>
      <x:c r="V185" s="281"/>
      <x:c r="W185" s="281"/>
      <x:c r="X185" s="281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281"/>
      <x:c r="B186" s="281"/>
      <x:c r="C186" s="281"/>
      <x:c r="D186" s="281"/>
      <x:c r="E186" s="281"/>
      <x:c r="F186" s="281"/>
      <x:c r="G186" s="281"/>
      <x:c r="H186" s="281"/>
      <x:c r="I186" s="281"/>
      <x:c r="J186" s="281"/>
      <x:c r="K186" s="281"/>
      <x:c r="L186" s="281"/>
      <x:c r="M186" s="281"/>
      <x:c r="N186" s="281"/>
      <x:c r="O186" s="281"/>
      <x:c r="P186" s="281"/>
      <x:c r="Q186" s="281"/>
      <x:c r="R186" s="281"/>
      <x:c r="S186" s="281"/>
      <x:c r="T186" s="281"/>
      <x:c r="U186" s="281"/>
      <x:c r="V186" s="281"/>
      <x:c r="W186" s="281"/>
      <x:c r="X186" s="281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281"/>
      <x:c r="B187" s="281"/>
      <x:c r="C187" s="281"/>
      <x:c r="D187" s="281"/>
      <x:c r="E187" s="281"/>
      <x:c r="F187" s="281"/>
      <x:c r="G187" s="281"/>
      <x:c r="H187" s="281"/>
      <x:c r="I187" s="281"/>
      <x:c r="J187" s="281"/>
      <x:c r="K187" s="281"/>
      <x:c r="L187" s="281"/>
      <x:c r="M187" s="281"/>
      <x:c r="N187" s="281"/>
      <x:c r="O187" s="281"/>
      <x:c r="P187" s="281"/>
      <x:c r="Q187" s="281"/>
      <x:c r="R187" s="281"/>
      <x:c r="S187" s="281"/>
      <x:c r="T187" s="281"/>
      <x:c r="U187" s="281"/>
      <x:c r="V187" s="281"/>
      <x:c r="W187" s="281"/>
      <x:c r="X187" s="281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281"/>
      <x:c r="B188" s="281"/>
      <x:c r="C188" s="281"/>
      <x:c r="D188" s="281"/>
      <x:c r="E188" s="281"/>
      <x:c r="F188" s="281"/>
      <x:c r="G188" s="281"/>
      <x:c r="H188" s="281"/>
      <x:c r="I188" s="281"/>
      <x:c r="J188" s="281"/>
      <x:c r="K188" s="281"/>
      <x:c r="L188" s="281"/>
      <x:c r="M188" s="281"/>
      <x:c r="N188" s="281"/>
      <x:c r="O188" s="281"/>
      <x:c r="P188" s="281"/>
      <x:c r="Q188" s="281"/>
      <x:c r="R188" s="281"/>
      <x:c r="S188" s="281"/>
      <x:c r="T188" s="281"/>
      <x:c r="U188" s="281"/>
      <x:c r="V188" s="281"/>
      <x:c r="W188" s="281"/>
      <x:c r="X188" s="281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281"/>
      <x:c r="B189" s="281"/>
      <x:c r="C189" s="281"/>
      <x:c r="D189" s="281"/>
      <x:c r="E189" s="281"/>
      <x:c r="F189" s="281"/>
      <x:c r="G189" s="281"/>
      <x:c r="H189" s="281"/>
      <x:c r="I189" s="281"/>
      <x:c r="J189" s="281"/>
      <x:c r="K189" s="281"/>
      <x:c r="L189" s="281"/>
      <x:c r="M189" s="281"/>
      <x:c r="N189" s="281"/>
      <x:c r="O189" s="281"/>
      <x:c r="P189" s="281"/>
      <x:c r="Q189" s="281"/>
      <x:c r="R189" s="281"/>
      <x:c r="S189" s="281"/>
      <x:c r="T189" s="281"/>
      <x:c r="U189" s="281"/>
      <x:c r="V189" s="281"/>
      <x:c r="W189" s="281"/>
      <x:c r="X189" s="281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281"/>
      <x:c r="B190" s="281"/>
      <x:c r="C190" s="281"/>
      <x:c r="D190" s="281"/>
      <x:c r="E190" s="281"/>
      <x:c r="F190" s="281"/>
      <x:c r="G190" s="281"/>
      <x:c r="H190" s="281"/>
      <x:c r="I190" s="281"/>
      <x:c r="J190" s="281"/>
      <x:c r="K190" s="281"/>
      <x:c r="L190" s="281"/>
      <x:c r="M190" s="281"/>
      <x:c r="N190" s="281"/>
      <x:c r="O190" s="281"/>
      <x:c r="P190" s="281"/>
      <x:c r="Q190" s="281"/>
      <x:c r="R190" s="281"/>
      <x:c r="S190" s="281"/>
      <x:c r="T190" s="281"/>
      <x:c r="U190" s="281"/>
      <x:c r="V190" s="281"/>
      <x:c r="W190" s="281"/>
      <x:c r="X190" s="281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281"/>
      <x:c r="B191" s="281"/>
      <x:c r="C191" s="281"/>
      <x:c r="D191" s="281"/>
      <x:c r="E191" s="281"/>
      <x:c r="F191" s="281"/>
      <x:c r="G191" s="281"/>
      <x:c r="H191" s="281"/>
      <x:c r="I191" s="281"/>
      <x:c r="J191" s="281"/>
      <x:c r="K191" s="281"/>
      <x:c r="L191" s="281"/>
      <x:c r="M191" s="281"/>
      <x:c r="N191" s="281"/>
      <x:c r="O191" s="281"/>
      <x:c r="P191" s="281"/>
      <x:c r="Q191" s="281"/>
      <x:c r="R191" s="281"/>
      <x:c r="S191" s="281"/>
      <x:c r="T191" s="281"/>
      <x:c r="U191" s="281"/>
      <x:c r="V191" s="281"/>
      <x:c r="W191" s="281"/>
      <x:c r="X191" s="281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281"/>
      <x:c r="B192" s="281"/>
      <x:c r="C192" s="281"/>
      <x:c r="D192" s="281"/>
      <x:c r="E192" s="281"/>
      <x:c r="F192" s="281"/>
      <x:c r="G192" s="281"/>
      <x:c r="H192" s="281"/>
      <x:c r="I192" s="281"/>
      <x:c r="J192" s="281"/>
      <x:c r="K192" s="281"/>
      <x:c r="L192" s="281"/>
      <x:c r="M192" s="281"/>
      <x:c r="N192" s="281"/>
      <x:c r="O192" s="281"/>
      <x:c r="P192" s="281"/>
      <x:c r="Q192" s="281"/>
      <x:c r="R192" s="281"/>
      <x:c r="S192" s="281"/>
      <x:c r="T192" s="281"/>
      <x:c r="U192" s="281"/>
      <x:c r="V192" s="281"/>
      <x:c r="W192" s="281"/>
      <x:c r="X192" s="281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281"/>
      <x:c r="B193" s="281"/>
      <x:c r="C193" s="281"/>
      <x:c r="D193" s="281"/>
      <x:c r="E193" s="281"/>
      <x:c r="F193" s="281"/>
      <x:c r="G193" s="281"/>
      <x:c r="H193" s="281"/>
      <x:c r="I193" s="281"/>
      <x:c r="J193" s="281"/>
      <x:c r="K193" s="281"/>
      <x:c r="L193" s="281"/>
      <x:c r="M193" s="281"/>
      <x:c r="N193" s="281"/>
      <x:c r="O193" s="281"/>
      <x:c r="P193" s="281"/>
      <x:c r="Q193" s="281"/>
      <x:c r="R193" s="281"/>
      <x:c r="S193" s="281"/>
      <x:c r="T193" s="281"/>
      <x:c r="U193" s="281"/>
      <x:c r="V193" s="281"/>
      <x:c r="W193" s="281"/>
      <x:c r="X193" s="281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281"/>
      <x:c r="B194" s="281"/>
      <x:c r="C194" s="281"/>
      <x:c r="D194" s="281"/>
      <x:c r="E194" s="281"/>
      <x:c r="F194" s="281"/>
      <x:c r="G194" s="281"/>
      <x:c r="H194" s="281"/>
      <x:c r="I194" s="281"/>
      <x:c r="J194" s="281"/>
      <x:c r="K194" s="281"/>
      <x:c r="L194" s="281"/>
      <x:c r="M194" s="281"/>
      <x:c r="N194" s="281"/>
      <x:c r="O194" s="281"/>
      <x:c r="P194" s="281"/>
      <x:c r="Q194" s="281"/>
      <x:c r="R194" s="281"/>
      <x:c r="S194" s="281"/>
      <x:c r="T194" s="281"/>
      <x:c r="U194" s="281"/>
      <x:c r="V194" s="281"/>
      <x:c r="W194" s="281"/>
      <x:c r="X194" s="281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281"/>
      <x:c r="B195" s="281"/>
      <x:c r="C195" s="281"/>
      <x:c r="D195" s="281"/>
      <x:c r="E195" s="281"/>
      <x:c r="F195" s="281"/>
      <x:c r="G195" s="281"/>
      <x:c r="H195" s="281"/>
      <x:c r="I195" s="281"/>
      <x:c r="J195" s="281"/>
      <x:c r="K195" s="281"/>
      <x:c r="L195" s="281"/>
      <x:c r="M195" s="281"/>
      <x:c r="N195" s="281"/>
      <x:c r="O195" s="281"/>
      <x:c r="P195" s="281"/>
      <x:c r="Q195" s="281"/>
      <x:c r="R195" s="281"/>
      <x:c r="S195" s="281"/>
      <x:c r="T195" s="281"/>
      <x:c r="U195" s="281"/>
      <x:c r="V195" s="281"/>
      <x:c r="W195" s="281"/>
      <x:c r="X195" s="281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281"/>
      <x:c r="B196" s="281"/>
      <x:c r="C196" s="281"/>
      <x:c r="D196" s="281"/>
      <x:c r="E196" s="281"/>
      <x:c r="F196" s="281"/>
      <x:c r="G196" s="281"/>
      <x:c r="H196" s="281"/>
      <x:c r="I196" s="281"/>
      <x:c r="J196" s="281"/>
      <x:c r="K196" s="281"/>
      <x:c r="L196" s="281"/>
      <x:c r="M196" s="281"/>
      <x:c r="N196" s="281"/>
      <x:c r="O196" s="281"/>
      <x:c r="P196" s="281"/>
      <x:c r="Q196" s="281"/>
      <x:c r="R196" s="281"/>
      <x:c r="S196" s="281"/>
      <x:c r="T196" s="281"/>
      <x:c r="U196" s="281"/>
      <x:c r="V196" s="281"/>
      <x:c r="W196" s="281"/>
      <x:c r="X196" s="281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281"/>
      <x:c r="B197" s="281"/>
      <x:c r="C197" s="281"/>
      <x:c r="D197" s="281"/>
      <x:c r="E197" s="281"/>
      <x:c r="F197" s="281"/>
      <x:c r="G197" s="281"/>
      <x:c r="H197" s="281"/>
      <x:c r="I197" s="281"/>
      <x:c r="J197" s="281"/>
      <x:c r="K197" s="281"/>
      <x:c r="L197" s="281"/>
      <x:c r="M197" s="281"/>
      <x:c r="N197" s="281"/>
      <x:c r="O197" s="281"/>
      <x:c r="P197" s="281"/>
      <x:c r="Q197" s="281"/>
      <x:c r="R197" s="281"/>
      <x:c r="S197" s="281"/>
      <x:c r="T197" s="281"/>
      <x:c r="U197" s="281"/>
      <x:c r="V197" s="281"/>
      <x:c r="W197" s="281"/>
      <x:c r="X197" s="281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281"/>
      <x:c r="B198" s="281"/>
      <x:c r="C198" s="281"/>
      <x:c r="D198" s="281"/>
      <x:c r="E198" s="281"/>
      <x:c r="F198" s="281"/>
      <x:c r="G198" s="281"/>
      <x:c r="H198" s="281"/>
      <x:c r="I198" s="281"/>
      <x:c r="J198" s="281"/>
      <x:c r="K198" s="281"/>
      <x:c r="L198" s="281"/>
      <x:c r="M198" s="281"/>
      <x:c r="N198" s="281"/>
      <x:c r="O198" s="281"/>
      <x:c r="P198" s="281"/>
      <x:c r="Q198" s="281"/>
      <x:c r="R198" s="281"/>
      <x:c r="S198" s="281"/>
      <x:c r="T198" s="281"/>
      <x:c r="U198" s="281"/>
      <x:c r="V198" s="281"/>
      <x:c r="W198" s="281"/>
      <x:c r="X198" s="281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281"/>
      <x:c r="B199" s="281"/>
      <x:c r="C199" s="281"/>
      <x:c r="D199" s="281"/>
      <x:c r="E199" s="281"/>
      <x:c r="F199" s="281"/>
      <x:c r="G199" s="281"/>
      <x:c r="H199" s="281"/>
      <x:c r="I199" s="281"/>
      <x:c r="J199" s="281"/>
      <x:c r="K199" s="281"/>
      <x:c r="L199" s="281"/>
      <x:c r="M199" s="281"/>
      <x:c r="N199" s="281"/>
      <x:c r="O199" s="281"/>
      <x:c r="P199" s="281"/>
      <x:c r="Q199" s="281"/>
      <x:c r="R199" s="281"/>
      <x:c r="S199" s="281"/>
      <x:c r="T199" s="281"/>
      <x:c r="U199" s="281"/>
      <x:c r="V199" s="281"/>
      <x:c r="W199" s="281"/>
      <x:c r="X199" s="281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281"/>
      <x:c r="B200" s="281"/>
      <x:c r="C200" s="281"/>
      <x:c r="D200" s="281"/>
      <x:c r="E200" s="281"/>
      <x:c r="F200" s="281"/>
      <x:c r="G200" s="281"/>
      <x:c r="H200" s="281"/>
      <x:c r="I200" s="281"/>
      <x:c r="J200" s="281"/>
      <x:c r="K200" s="281"/>
      <x:c r="L200" s="281"/>
      <x:c r="M200" s="281"/>
      <x:c r="N200" s="281"/>
      <x:c r="O200" s="281"/>
      <x:c r="P200" s="281"/>
      <x:c r="Q200" s="281"/>
      <x:c r="R200" s="281"/>
      <x:c r="S200" s="281"/>
      <x:c r="T200" s="281"/>
      <x:c r="U200" s="281"/>
      <x:c r="V200" s="281"/>
      <x:c r="W200" s="281"/>
      <x:c r="X200" s="281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M1"/>
    <x:mergeCell ref="A2:M2"/>
  </x:mergeCells>
  <x:conditionalFormatting sqref="H16:H35">
    <x:cfRule type="expression" dxfId="7" priority="1">
      <x:formula>H16&lt;0.5</x:formula>
    </x:cfRule>
    <x:cfRule type="expression" dxfId="8" priority="2">
      <x:formula>H16&gt;=0.5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34" hidden="0" customWidth="1"/>
    <x:col min="16" max="16" width="38" hidden="0" customWidth="1"/>
    <x:col min="17" max="17" width="26" hidden="0" customWidth="1"/>
    <x:col min="18" max="18" width="42" hidden="0" customWidth="1"/>
    <x:col min="19" max="19" width="42" hidden="0" customWidth="1"/>
    <x:col min="20" max="20" width="14" hidden="0" customWidth="1"/>
    <x:col min="21" max="21" width="14" hidden="0" customWidth="1"/>
  </x:cols>
  <x:sheetData>
    <x:row r="1" ht="30" customHeight="1">
      <x:c r="A1" s="412" t="str">
        <x:v>Gift Story — Products Database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سجلي كل منتج بتكلفته وصوره وحالته قبل إدخاله في أي بوكس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28" t="str">
        <x:v>Product ID</x:v>
      </x:c>
      <x:c r="B4" s="429" t="str">
        <x:v>Product Name</x:v>
      </x:c>
      <x:c r="C4" s="429" t="str">
        <x:v>Category</x:v>
      </x:c>
      <x:c r="D4" s="429" t="str">
        <x:v>Drop</x:v>
      </x:c>
      <x:c r="E4" s="429" t="str">
        <x:v>Brand</x:v>
      </x:c>
      <x:c r="F4" s="429" t="str">
        <x:v>Product Type</x:v>
      </x:c>
      <x:c r="G4" s="429" t="str">
        <x:v>Audience</x:v>
      </x:c>
      <x:c r="H4" s="429" t="str">
        <x:v>Age / Size</x:v>
      </x:c>
      <x:c r="I4" s="429" t="str">
        <x:v>Color</x:v>
      </x:c>
      <x:c r="J4" s="429" t="str">
        <x:v>Source</x:v>
      </x:c>
      <x:c r="K4" s="429" t="str">
        <x:v>Landed Cost SAR</x:v>
      </x:c>
      <x:c r="L4" s="429" t="str">
        <x:v>Quantity Purchased</x:v>
      </x:c>
      <x:c r="M4" s="429" t="str">
        <x:v>Quantity Available</x:v>
      </x:c>
      <x:c r="N4" s="429" t="str">
        <x:v>Status</x:v>
      </x:c>
      <x:c r="O4" s="429" t="str">
        <x:v>Raw Image Filename</x:v>
      </x:c>
      <x:c r="P4" s="429" t="str">
        <x:v>Client Display Image Filename</x:v>
      </x:c>
      <x:c r="Q4" s="429" t="str">
        <x:v>Suggested Box Use</x:v>
      </x:c>
      <x:c r="R4" s="429" t="str">
        <x:v>Customer-Facing Description</x:v>
      </x:c>
      <x:c r="S4" s="429" t="str">
        <x:v>Internal Notes</x:v>
      </x:c>
      <x:c r="T4" s="429" t="str">
        <x:v>Date Added</x:v>
      </x:c>
      <x:c r="U4" s="430" t="str">
        <x:v>Date Used</x:v>
      </x:c>
      <x:c r="V4" s="281"/>
      <x:c r="W4" s="281"/>
      <x:c r="X4" s="281"/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361" t="str">
        <x:v>P-0001</x:v>
      </x:c>
      <x:c r="B5" s="362" t="str">
        <x:v>Example Baby Set</x:v>
      </x:c>
      <x:c r="C5" s="362" t="str">
        <x:v>Little Stories</x:v>
      </x:c>
      <x:c r="D5" s="362" t="str">
        <x:v>Drop 01</x:v>
      </x:c>
      <x:c r="E5" s="362" t="str">
        <x:v>Brand Name</x:v>
      </x:c>
      <x:c r="F5" s="362" t="str">
        <x:v>Clothing Set</x:v>
      </x:c>
      <x:c r="G5" s="362" t="str">
        <x:v>Baby Girl</x:v>
      </x:c>
      <x:c r="H5" s="362" t="str">
        <x:v>6M</x:v>
      </x:c>
      <x:c r="I5" s="362" t="str">
        <x:v>Soft Pink</x:v>
      </x:c>
      <x:c r="J5" s="362" t="str">
        <x:v>Internal</x:v>
      </x:c>
      <x:c r="K5" s="363" t="n">
        <x:v>75</x:v>
      </x:c>
      <x:c r="L5" s="364" t="n">
        <x:v>1</x:v>
      </x:c>
      <x:c r="M5" s="364" t="n">
        <x:v>1</x:v>
      </x:c>
      <x:c r="N5" s="362" t="str">
        <x:v>Needs Photo</x:v>
      </x:c>
      <x:c r="O5" s="362" t="str">
        <x:v>GS_LittleStories_BabySet_Pink_6M_Raw_v1.jpg</x:v>
      </x:c>
      <x:c r="P5" s="362" t="str">
        <x:v>GS_LittleStories_BabySet_Pink_6M_ClientDisplay_v1.png</x:v>
      </x:c>
      <x:c r="Q5" s="362" t="str">
        <x:v>Main visual piece</x:v>
      </x:c>
      <x:c r="R5" s="362" t="str">
        <x:v>Soft baby clothing set suitable for a refined Little Story gift.</x:v>
      </x:c>
      <x:c r="S5" s="362" t="str">
        <x:v>Example row — replace with actual product.</x:v>
      </x:c>
      <x:c r="T5" s="365" t="n">
        <x:v>46193.711919849535</x:v>
      </x:c>
      <x:c r="U5" s="366"/>
      <x:c r="V5" s="281"/>
      <x:c r="W5" s="281"/>
      <x:c r="X5" s="281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361" t="str">
        <x:v>P-0002</x:v>
      </x:c>
      <x:c r="B6" s="362" t="str">
        <x:v>Example Baby Shoes</x:v>
      </x:c>
      <x:c r="C6" s="362" t="str">
        <x:v>Little Stories</x:v>
      </x:c>
      <x:c r="D6" s="362" t="str">
        <x:v>Drop 01</x:v>
      </x:c>
      <x:c r="E6" s="362" t="str">
        <x:v>Brand Name</x:v>
      </x:c>
      <x:c r="F6" s="362" t="str">
        <x:v>Shoes</x:v>
      </x:c>
      <x:c r="G6" s="362" t="str">
        <x:v>Baby</x:v>
      </x:c>
      <x:c r="H6" s="362" t="str">
        <x:v>0-3M</x:v>
      </x:c>
      <x:c r="I6" s="362" t="str">
        <x:v>White</x:v>
      </x:c>
      <x:c r="J6" s="362" t="str">
        <x:v>Internal</x:v>
      </x:c>
      <x:c r="K6" s="363" t="n">
        <x:v>45</x:v>
      </x:c>
      <x:c r="L6" s="364" t="n">
        <x:v>1</x:v>
      </x:c>
      <x:c r="M6" s="364" t="n">
        <x:v>1</x:v>
      </x:c>
      <x:c r="N6" s="362" t="str">
        <x:v>Available</x:v>
      </x:c>
      <x:c r="O6" s="362" t="str">
        <x:v>GS_LittleStories_Shoes_White_0-3M_Raw_v1.jpg</x:v>
      </x:c>
      <x:c r="P6" s="362" t="str">
        <x:v>GS_LittleStories_Shoes_White_0-3M_ClientDisplay_v1.png</x:v>
      </x:c>
      <x:c r="Q6" s="362" t="str">
        <x:v>Pairing item</x:v>
      </x:c>
      <x:c r="R6" s="362" t="str">
        <x:v>Soft white baby shoes that complete the gift presentation.</x:v>
      </x:c>
      <x:c r="S6" s="362" t="str">
        <x:v>Example row — replace with actual product.</x:v>
      </x:c>
      <x:c r="T6" s="365" t="n">
        <x:v>46193.711919849535</x:v>
      </x:c>
      <x:c r="U6" s="366"/>
      <x:c r="V6" s="281"/>
      <x:c r="W6" s="281"/>
      <x:c r="X6" s="281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361"/>
      <x:c r="B7" s="362"/>
      <x:c r="C7" s="362"/>
      <x:c r="D7" s="362"/>
      <x:c r="E7" s="362"/>
      <x:c r="F7" s="362"/>
      <x:c r="G7" s="362"/>
      <x:c r="H7" s="362"/>
      <x:c r="I7" s="362"/>
      <x:c r="J7" s="362"/>
      <x:c r="K7" s="363"/>
      <x:c r="L7" s="364"/>
      <x:c r="M7" s="364"/>
      <x:c r="N7" s="362"/>
      <x:c r="O7" s="362"/>
      <x:c r="P7" s="362"/>
      <x:c r="Q7" s="362"/>
      <x:c r="R7" s="362"/>
      <x:c r="S7" s="362"/>
      <x:c r="T7" s="365"/>
      <x:c r="U7" s="366"/>
      <x:c r="V7" s="281"/>
      <x:c r="W7" s="281"/>
      <x:c r="X7" s="281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361"/>
      <x:c r="B8" s="362"/>
      <x:c r="C8" s="362"/>
      <x:c r="D8" s="362"/>
      <x:c r="E8" s="362"/>
      <x:c r="F8" s="362"/>
      <x:c r="G8" s="362"/>
      <x:c r="H8" s="362"/>
      <x:c r="I8" s="362"/>
      <x:c r="J8" s="362"/>
      <x:c r="K8" s="363"/>
      <x:c r="L8" s="364"/>
      <x:c r="M8" s="364"/>
      <x:c r="N8" s="362"/>
      <x:c r="O8" s="362"/>
      <x:c r="P8" s="362"/>
      <x:c r="Q8" s="362"/>
      <x:c r="R8" s="362"/>
      <x:c r="S8" s="362"/>
      <x:c r="T8" s="365"/>
      <x:c r="U8" s="366"/>
      <x:c r="V8" s="281"/>
      <x:c r="W8" s="281"/>
      <x:c r="X8" s="281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361"/>
      <x:c r="B9" s="362"/>
      <x:c r="C9" s="362"/>
      <x:c r="D9" s="362"/>
      <x:c r="E9" s="362"/>
      <x:c r="F9" s="362"/>
      <x:c r="G9" s="362"/>
      <x:c r="H9" s="362"/>
      <x:c r="I9" s="362"/>
      <x:c r="J9" s="362"/>
      <x:c r="K9" s="363"/>
      <x:c r="L9" s="364"/>
      <x:c r="M9" s="364"/>
      <x:c r="N9" s="362"/>
      <x:c r="O9" s="362"/>
      <x:c r="P9" s="362"/>
      <x:c r="Q9" s="362"/>
      <x:c r="R9" s="362"/>
      <x:c r="S9" s="362"/>
      <x:c r="T9" s="365"/>
      <x:c r="U9" s="366"/>
      <x:c r="V9" s="281"/>
      <x:c r="W9" s="281"/>
      <x:c r="X9" s="281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361"/>
      <x:c r="B10" s="362"/>
      <x:c r="C10" s="362"/>
      <x:c r="D10" s="362"/>
      <x:c r="E10" s="362"/>
      <x:c r="F10" s="362"/>
      <x:c r="G10" s="362"/>
      <x:c r="H10" s="362"/>
      <x:c r="I10" s="362"/>
      <x:c r="J10" s="362"/>
      <x:c r="K10" s="363"/>
      <x:c r="L10" s="364"/>
      <x:c r="M10" s="364"/>
      <x:c r="N10" s="362"/>
      <x:c r="O10" s="362"/>
      <x:c r="P10" s="362"/>
      <x:c r="Q10" s="362"/>
      <x:c r="R10" s="362"/>
      <x:c r="S10" s="362"/>
      <x:c r="T10" s="365"/>
      <x:c r="U10" s="366"/>
      <x:c r="V10" s="281"/>
      <x:c r="W10" s="281"/>
      <x:c r="X10" s="281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361"/>
      <x:c r="B11" s="362"/>
      <x:c r="C11" s="362"/>
      <x:c r="D11" s="362"/>
      <x:c r="E11" s="362"/>
      <x:c r="F11" s="362"/>
      <x:c r="G11" s="362"/>
      <x:c r="H11" s="362"/>
      <x:c r="I11" s="362"/>
      <x:c r="J11" s="362"/>
      <x:c r="K11" s="363"/>
      <x:c r="L11" s="364"/>
      <x:c r="M11" s="364"/>
      <x:c r="N11" s="362"/>
      <x:c r="O11" s="362"/>
      <x:c r="P11" s="362"/>
      <x:c r="Q11" s="362"/>
      <x:c r="R11" s="362"/>
      <x:c r="S11" s="362"/>
      <x:c r="T11" s="365"/>
      <x:c r="U11" s="366"/>
      <x:c r="V11" s="281"/>
      <x:c r="W11" s="281"/>
      <x:c r="X11" s="281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361"/>
      <x:c r="B12" s="362"/>
      <x:c r="C12" s="362"/>
      <x:c r="D12" s="362"/>
      <x:c r="E12" s="362"/>
      <x:c r="F12" s="362"/>
      <x:c r="G12" s="362"/>
      <x:c r="H12" s="362"/>
      <x:c r="I12" s="362"/>
      <x:c r="J12" s="362"/>
      <x:c r="K12" s="363"/>
      <x:c r="L12" s="364"/>
      <x:c r="M12" s="364"/>
      <x:c r="N12" s="362"/>
      <x:c r="O12" s="362"/>
      <x:c r="P12" s="362"/>
      <x:c r="Q12" s="362"/>
      <x:c r="R12" s="362"/>
      <x:c r="S12" s="362"/>
      <x:c r="T12" s="365"/>
      <x:c r="U12" s="366"/>
      <x:c r="V12" s="281"/>
      <x:c r="W12" s="281"/>
      <x:c r="X12" s="281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361"/>
      <x:c r="B13" s="362"/>
      <x:c r="C13" s="362"/>
      <x:c r="D13" s="362"/>
      <x:c r="E13" s="362"/>
      <x:c r="F13" s="362"/>
      <x:c r="G13" s="362"/>
      <x:c r="H13" s="362"/>
      <x:c r="I13" s="362"/>
      <x:c r="J13" s="362"/>
      <x:c r="K13" s="363"/>
      <x:c r="L13" s="364"/>
      <x:c r="M13" s="364"/>
      <x:c r="N13" s="362"/>
      <x:c r="O13" s="362"/>
      <x:c r="P13" s="362"/>
      <x:c r="Q13" s="362"/>
      <x:c r="R13" s="362"/>
      <x:c r="S13" s="362"/>
      <x:c r="T13" s="365"/>
      <x:c r="U13" s="366"/>
      <x:c r="V13" s="281"/>
      <x:c r="W13" s="281"/>
      <x:c r="X13" s="281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361"/>
      <x:c r="B14" s="362"/>
      <x:c r="C14" s="362"/>
      <x:c r="D14" s="362"/>
      <x:c r="E14" s="362"/>
      <x:c r="F14" s="362"/>
      <x:c r="G14" s="362"/>
      <x:c r="H14" s="362"/>
      <x:c r="I14" s="362"/>
      <x:c r="J14" s="362"/>
      <x:c r="K14" s="363"/>
      <x:c r="L14" s="364"/>
      <x:c r="M14" s="364"/>
      <x:c r="N14" s="362"/>
      <x:c r="O14" s="362"/>
      <x:c r="P14" s="362"/>
      <x:c r="Q14" s="362"/>
      <x:c r="R14" s="362"/>
      <x:c r="S14" s="362"/>
      <x:c r="T14" s="365"/>
      <x:c r="U14" s="366"/>
      <x:c r="V14" s="281"/>
      <x:c r="W14" s="281"/>
      <x:c r="X14" s="281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>
      <x:c r="A15" s="361"/>
      <x:c r="B15" s="362"/>
      <x:c r="C15" s="362"/>
      <x:c r="D15" s="362"/>
      <x:c r="E15" s="362"/>
      <x:c r="F15" s="362"/>
      <x:c r="G15" s="362"/>
      <x:c r="H15" s="362"/>
      <x:c r="I15" s="362"/>
      <x:c r="J15" s="362"/>
      <x:c r="K15" s="363"/>
      <x:c r="L15" s="364"/>
      <x:c r="M15" s="364"/>
      <x:c r="N15" s="362"/>
      <x:c r="O15" s="362"/>
      <x:c r="P15" s="362"/>
      <x:c r="Q15" s="362"/>
      <x:c r="R15" s="362"/>
      <x:c r="S15" s="362"/>
      <x:c r="T15" s="365"/>
      <x:c r="U15" s="366"/>
      <x:c r="V15" s="281"/>
      <x:c r="W15" s="281"/>
      <x:c r="X15" s="281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361"/>
      <x:c r="B16" s="362"/>
      <x:c r="C16" s="362"/>
      <x:c r="D16" s="362"/>
      <x:c r="E16" s="362"/>
      <x:c r="F16" s="362"/>
      <x:c r="G16" s="362"/>
      <x:c r="H16" s="362"/>
      <x:c r="I16" s="362"/>
      <x:c r="J16" s="362"/>
      <x:c r="K16" s="363"/>
      <x:c r="L16" s="364"/>
      <x:c r="M16" s="364"/>
      <x:c r="N16" s="362"/>
      <x:c r="O16" s="362"/>
      <x:c r="P16" s="362"/>
      <x:c r="Q16" s="362"/>
      <x:c r="R16" s="362"/>
      <x:c r="S16" s="362"/>
      <x:c r="T16" s="365"/>
      <x:c r="U16" s="366"/>
      <x:c r="V16" s="281"/>
      <x:c r="W16" s="281"/>
      <x:c r="X16" s="281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361"/>
      <x:c r="B17" s="362"/>
      <x:c r="C17" s="362"/>
      <x:c r="D17" s="362"/>
      <x:c r="E17" s="362"/>
      <x:c r="F17" s="362"/>
      <x:c r="G17" s="362"/>
      <x:c r="H17" s="362"/>
      <x:c r="I17" s="362"/>
      <x:c r="J17" s="362"/>
      <x:c r="K17" s="363"/>
      <x:c r="L17" s="364"/>
      <x:c r="M17" s="364"/>
      <x:c r="N17" s="362"/>
      <x:c r="O17" s="362"/>
      <x:c r="P17" s="362"/>
      <x:c r="Q17" s="362"/>
      <x:c r="R17" s="362"/>
      <x:c r="S17" s="362"/>
      <x:c r="T17" s="365"/>
      <x:c r="U17" s="366"/>
      <x:c r="V17" s="281"/>
      <x:c r="W17" s="281"/>
      <x:c r="X17" s="281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361"/>
      <x:c r="B18" s="362"/>
      <x:c r="C18" s="362"/>
      <x:c r="D18" s="362"/>
      <x:c r="E18" s="362"/>
      <x:c r="F18" s="362"/>
      <x:c r="G18" s="362"/>
      <x:c r="H18" s="362"/>
      <x:c r="I18" s="362"/>
      <x:c r="J18" s="362"/>
      <x:c r="K18" s="363"/>
      <x:c r="L18" s="364"/>
      <x:c r="M18" s="364"/>
      <x:c r="N18" s="362"/>
      <x:c r="O18" s="362"/>
      <x:c r="P18" s="362"/>
      <x:c r="Q18" s="362"/>
      <x:c r="R18" s="362"/>
      <x:c r="S18" s="362"/>
      <x:c r="T18" s="365"/>
      <x:c r="U18" s="366"/>
      <x:c r="V18" s="281"/>
      <x:c r="W18" s="281"/>
      <x:c r="X18" s="281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361"/>
      <x:c r="B19" s="362"/>
      <x:c r="C19" s="362"/>
      <x:c r="D19" s="362"/>
      <x:c r="E19" s="362"/>
      <x:c r="F19" s="362"/>
      <x:c r="G19" s="362"/>
      <x:c r="H19" s="362"/>
      <x:c r="I19" s="362"/>
      <x:c r="J19" s="362"/>
      <x:c r="K19" s="363"/>
      <x:c r="L19" s="364"/>
      <x:c r="M19" s="364"/>
      <x:c r="N19" s="362"/>
      <x:c r="O19" s="362"/>
      <x:c r="P19" s="362"/>
      <x:c r="Q19" s="362"/>
      <x:c r="R19" s="362"/>
      <x:c r="S19" s="362"/>
      <x:c r="T19" s="365"/>
      <x:c r="U19" s="366"/>
      <x:c r="V19" s="281"/>
      <x:c r="W19" s="281"/>
      <x:c r="X19" s="281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361"/>
      <x:c r="B20" s="362"/>
      <x:c r="C20" s="362"/>
      <x:c r="D20" s="362"/>
      <x:c r="E20" s="362"/>
      <x:c r="F20" s="362"/>
      <x:c r="G20" s="362"/>
      <x:c r="H20" s="362"/>
      <x:c r="I20" s="362"/>
      <x:c r="J20" s="362"/>
      <x:c r="K20" s="363"/>
      <x:c r="L20" s="364"/>
      <x:c r="M20" s="364"/>
      <x:c r="N20" s="362"/>
      <x:c r="O20" s="362"/>
      <x:c r="P20" s="362"/>
      <x:c r="Q20" s="362"/>
      <x:c r="R20" s="362"/>
      <x:c r="S20" s="362"/>
      <x:c r="T20" s="365"/>
      <x:c r="U20" s="366"/>
      <x:c r="V20" s="281"/>
      <x:c r="W20" s="281"/>
      <x:c r="X20" s="281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361"/>
      <x:c r="B21" s="362"/>
      <x:c r="C21" s="362"/>
      <x:c r="D21" s="362"/>
      <x:c r="E21" s="362"/>
      <x:c r="F21" s="362"/>
      <x:c r="G21" s="362"/>
      <x:c r="H21" s="362"/>
      <x:c r="I21" s="362"/>
      <x:c r="J21" s="362"/>
      <x:c r="K21" s="363"/>
      <x:c r="L21" s="364"/>
      <x:c r="M21" s="364"/>
      <x:c r="N21" s="362"/>
      <x:c r="O21" s="362"/>
      <x:c r="P21" s="362"/>
      <x:c r="Q21" s="362"/>
      <x:c r="R21" s="362"/>
      <x:c r="S21" s="362"/>
      <x:c r="T21" s="365"/>
      <x:c r="U21" s="366"/>
      <x:c r="V21" s="281"/>
      <x:c r="W21" s="281"/>
      <x:c r="X21" s="281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361"/>
      <x:c r="B22" s="362"/>
      <x:c r="C22" s="362"/>
      <x:c r="D22" s="362"/>
      <x:c r="E22" s="362"/>
      <x:c r="F22" s="362"/>
      <x:c r="G22" s="362"/>
      <x:c r="H22" s="362"/>
      <x:c r="I22" s="362"/>
      <x:c r="J22" s="362"/>
      <x:c r="K22" s="363"/>
      <x:c r="L22" s="364"/>
      <x:c r="M22" s="364"/>
      <x:c r="N22" s="362"/>
      <x:c r="O22" s="362"/>
      <x:c r="P22" s="362"/>
      <x:c r="Q22" s="362"/>
      <x:c r="R22" s="362"/>
      <x:c r="S22" s="362"/>
      <x:c r="T22" s="365"/>
      <x:c r="U22" s="366"/>
      <x:c r="V22" s="281"/>
      <x:c r="W22" s="281"/>
      <x:c r="X22" s="281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361"/>
      <x:c r="B23" s="362"/>
      <x:c r="C23" s="362"/>
      <x:c r="D23" s="362"/>
      <x:c r="E23" s="362"/>
      <x:c r="F23" s="362"/>
      <x:c r="G23" s="362"/>
      <x:c r="H23" s="362"/>
      <x:c r="I23" s="362"/>
      <x:c r="J23" s="362"/>
      <x:c r="K23" s="363"/>
      <x:c r="L23" s="364"/>
      <x:c r="M23" s="364"/>
      <x:c r="N23" s="362"/>
      <x:c r="O23" s="362"/>
      <x:c r="P23" s="362"/>
      <x:c r="Q23" s="362"/>
      <x:c r="R23" s="362"/>
      <x:c r="S23" s="362"/>
      <x:c r="T23" s="365"/>
      <x:c r="U23" s="366"/>
      <x:c r="V23" s="281"/>
      <x:c r="W23" s="281"/>
      <x:c r="X23" s="281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361"/>
      <x:c r="B24" s="362"/>
      <x:c r="C24" s="362"/>
      <x:c r="D24" s="362"/>
      <x:c r="E24" s="362"/>
      <x:c r="F24" s="362"/>
      <x:c r="G24" s="362"/>
      <x:c r="H24" s="362"/>
      <x:c r="I24" s="362"/>
      <x:c r="J24" s="362"/>
      <x:c r="K24" s="363"/>
      <x:c r="L24" s="364"/>
      <x:c r="M24" s="364"/>
      <x:c r="N24" s="362"/>
      <x:c r="O24" s="362"/>
      <x:c r="P24" s="362"/>
      <x:c r="Q24" s="362"/>
      <x:c r="R24" s="362"/>
      <x:c r="S24" s="362"/>
      <x:c r="T24" s="365"/>
      <x:c r="U24" s="366"/>
      <x:c r="V24" s="281"/>
      <x:c r="W24" s="281"/>
      <x:c r="X24" s="281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361"/>
      <x:c r="B25" s="362"/>
      <x:c r="C25" s="362"/>
      <x:c r="D25" s="362"/>
      <x:c r="E25" s="362"/>
      <x:c r="F25" s="362"/>
      <x:c r="G25" s="362"/>
      <x:c r="H25" s="362"/>
      <x:c r="I25" s="362"/>
      <x:c r="J25" s="362"/>
      <x:c r="K25" s="363"/>
      <x:c r="L25" s="364"/>
      <x:c r="M25" s="364"/>
      <x:c r="N25" s="362"/>
      <x:c r="O25" s="362"/>
      <x:c r="P25" s="362"/>
      <x:c r="Q25" s="362"/>
      <x:c r="R25" s="362"/>
      <x:c r="S25" s="362"/>
      <x:c r="T25" s="365"/>
      <x:c r="U25" s="366"/>
      <x:c r="V25" s="281"/>
      <x:c r="W25" s="281"/>
      <x:c r="X25" s="281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361"/>
      <x:c r="B26" s="362"/>
      <x:c r="C26" s="362"/>
      <x:c r="D26" s="362"/>
      <x:c r="E26" s="362"/>
      <x:c r="F26" s="362"/>
      <x:c r="G26" s="362"/>
      <x:c r="H26" s="362"/>
      <x:c r="I26" s="362"/>
      <x:c r="J26" s="362"/>
      <x:c r="K26" s="363"/>
      <x:c r="L26" s="364"/>
      <x:c r="M26" s="364"/>
      <x:c r="N26" s="362"/>
      <x:c r="O26" s="362"/>
      <x:c r="P26" s="362"/>
      <x:c r="Q26" s="362"/>
      <x:c r="R26" s="362"/>
      <x:c r="S26" s="362"/>
      <x:c r="T26" s="365"/>
      <x:c r="U26" s="366"/>
      <x:c r="V26" s="281"/>
      <x:c r="W26" s="281"/>
      <x:c r="X26" s="281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361"/>
      <x:c r="B27" s="362"/>
      <x:c r="C27" s="362"/>
      <x:c r="D27" s="362"/>
      <x:c r="E27" s="362"/>
      <x:c r="F27" s="362"/>
      <x:c r="G27" s="362"/>
      <x:c r="H27" s="362"/>
      <x:c r="I27" s="362"/>
      <x:c r="J27" s="362"/>
      <x:c r="K27" s="363"/>
      <x:c r="L27" s="364"/>
      <x:c r="M27" s="364"/>
      <x:c r="N27" s="362"/>
      <x:c r="O27" s="362"/>
      <x:c r="P27" s="362"/>
      <x:c r="Q27" s="362"/>
      <x:c r="R27" s="362"/>
      <x:c r="S27" s="362"/>
      <x:c r="T27" s="365"/>
      <x:c r="U27" s="366"/>
      <x:c r="V27" s="281"/>
      <x:c r="W27" s="281"/>
      <x:c r="X27" s="281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361"/>
      <x:c r="B28" s="362"/>
      <x:c r="C28" s="362"/>
      <x:c r="D28" s="362"/>
      <x:c r="E28" s="362"/>
      <x:c r="F28" s="362"/>
      <x:c r="G28" s="362"/>
      <x:c r="H28" s="362"/>
      <x:c r="I28" s="362"/>
      <x:c r="J28" s="362"/>
      <x:c r="K28" s="363"/>
      <x:c r="L28" s="364"/>
      <x:c r="M28" s="364"/>
      <x:c r="N28" s="362"/>
      <x:c r="O28" s="362"/>
      <x:c r="P28" s="362"/>
      <x:c r="Q28" s="362"/>
      <x:c r="R28" s="362"/>
      <x:c r="S28" s="362"/>
      <x:c r="T28" s="365"/>
      <x:c r="U28" s="366"/>
      <x:c r="V28" s="281"/>
      <x:c r="W28" s="281"/>
      <x:c r="X28" s="281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361"/>
      <x:c r="B29" s="362"/>
      <x:c r="C29" s="362"/>
      <x:c r="D29" s="362"/>
      <x:c r="E29" s="362"/>
      <x:c r="F29" s="362"/>
      <x:c r="G29" s="362"/>
      <x:c r="H29" s="362"/>
      <x:c r="I29" s="362"/>
      <x:c r="J29" s="362"/>
      <x:c r="K29" s="363"/>
      <x:c r="L29" s="364"/>
      <x:c r="M29" s="364"/>
      <x:c r="N29" s="362"/>
      <x:c r="O29" s="362"/>
      <x:c r="P29" s="362"/>
      <x:c r="Q29" s="362"/>
      <x:c r="R29" s="362"/>
      <x:c r="S29" s="362"/>
      <x:c r="T29" s="365"/>
      <x:c r="U29" s="366"/>
      <x:c r="V29" s="281"/>
      <x:c r="W29" s="281"/>
      <x:c r="X29" s="281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361"/>
      <x:c r="B30" s="362"/>
      <x:c r="C30" s="362"/>
      <x:c r="D30" s="362"/>
      <x:c r="E30" s="362"/>
      <x:c r="F30" s="362"/>
      <x:c r="G30" s="362"/>
      <x:c r="H30" s="362"/>
      <x:c r="I30" s="362"/>
      <x:c r="J30" s="362"/>
      <x:c r="K30" s="363"/>
      <x:c r="L30" s="364"/>
      <x:c r="M30" s="364"/>
      <x:c r="N30" s="362"/>
      <x:c r="O30" s="362"/>
      <x:c r="P30" s="362"/>
      <x:c r="Q30" s="362"/>
      <x:c r="R30" s="362"/>
      <x:c r="S30" s="362"/>
      <x:c r="T30" s="365"/>
      <x:c r="U30" s="366"/>
      <x:c r="V30" s="281"/>
      <x:c r="W30" s="281"/>
      <x:c r="X30" s="281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361"/>
      <x:c r="B31" s="362"/>
      <x:c r="C31" s="362"/>
      <x:c r="D31" s="362"/>
      <x:c r="E31" s="362"/>
      <x:c r="F31" s="362"/>
      <x:c r="G31" s="362"/>
      <x:c r="H31" s="362"/>
      <x:c r="I31" s="362"/>
      <x:c r="J31" s="362"/>
      <x:c r="K31" s="363"/>
      <x:c r="L31" s="364"/>
      <x:c r="M31" s="364"/>
      <x:c r="N31" s="362"/>
      <x:c r="O31" s="362"/>
      <x:c r="P31" s="362"/>
      <x:c r="Q31" s="362"/>
      <x:c r="R31" s="362"/>
      <x:c r="S31" s="362"/>
      <x:c r="T31" s="365"/>
      <x:c r="U31" s="366"/>
      <x:c r="V31" s="281"/>
      <x:c r="W31" s="281"/>
      <x:c r="X31" s="281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361"/>
      <x:c r="B32" s="362"/>
      <x:c r="C32" s="362"/>
      <x:c r="D32" s="362"/>
      <x:c r="E32" s="362"/>
      <x:c r="F32" s="362"/>
      <x:c r="G32" s="362"/>
      <x:c r="H32" s="362"/>
      <x:c r="I32" s="362"/>
      <x:c r="J32" s="362"/>
      <x:c r="K32" s="363"/>
      <x:c r="L32" s="364"/>
      <x:c r="M32" s="364"/>
      <x:c r="N32" s="362"/>
      <x:c r="O32" s="362"/>
      <x:c r="P32" s="362"/>
      <x:c r="Q32" s="362"/>
      <x:c r="R32" s="362"/>
      <x:c r="S32" s="362"/>
      <x:c r="T32" s="365"/>
      <x:c r="U32" s="366"/>
      <x:c r="V32" s="281"/>
      <x:c r="W32" s="281"/>
      <x:c r="X32" s="281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361"/>
      <x:c r="B33" s="362"/>
      <x:c r="C33" s="362"/>
      <x:c r="D33" s="362"/>
      <x:c r="E33" s="362"/>
      <x:c r="F33" s="362"/>
      <x:c r="G33" s="362"/>
      <x:c r="H33" s="362"/>
      <x:c r="I33" s="362"/>
      <x:c r="J33" s="362"/>
      <x:c r="K33" s="363"/>
      <x:c r="L33" s="364"/>
      <x:c r="M33" s="364"/>
      <x:c r="N33" s="362"/>
      <x:c r="O33" s="362"/>
      <x:c r="P33" s="362"/>
      <x:c r="Q33" s="362"/>
      <x:c r="R33" s="362"/>
      <x:c r="S33" s="362"/>
      <x:c r="T33" s="365"/>
      <x:c r="U33" s="366"/>
      <x:c r="V33" s="281"/>
      <x:c r="W33" s="281"/>
      <x:c r="X33" s="281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361"/>
      <x:c r="B34" s="362"/>
      <x:c r="C34" s="362"/>
      <x:c r="D34" s="362"/>
      <x:c r="E34" s="362"/>
      <x:c r="F34" s="362"/>
      <x:c r="G34" s="362"/>
      <x:c r="H34" s="362"/>
      <x:c r="I34" s="362"/>
      <x:c r="J34" s="362"/>
      <x:c r="K34" s="363"/>
      <x:c r="L34" s="364"/>
      <x:c r="M34" s="364"/>
      <x:c r="N34" s="362"/>
      <x:c r="O34" s="362"/>
      <x:c r="P34" s="362"/>
      <x:c r="Q34" s="362"/>
      <x:c r="R34" s="362"/>
      <x:c r="S34" s="362"/>
      <x:c r="T34" s="365"/>
      <x:c r="U34" s="366"/>
      <x:c r="V34" s="281"/>
      <x:c r="W34" s="281"/>
      <x:c r="X34" s="281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361"/>
      <x:c r="B35" s="362"/>
      <x:c r="C35" s="362"/>
      <x:c r="D35" s="362"/>
      <x:c r="E35" s="362"/>
      <x:c r="F35" s="362"/>
      <x:c r="G35" s="362"/>
      <x:c r="H35" s="362"/>
      <x:c r="I35" s="362"/>
      <x:c r="J35" s="362"/>
      <x:c r="K35" s="363"/>
      <x:c r="L35" s="364"/>
      <x:c r="M35" s="364"/>
      <x:c r="N35" s="362"/>
      <x:c r="O35" s="362"/>
      <x:c r="P35" s="362"/>
      <x:c r="Q35" s="362"/>
      <x:c r="R35" s="362"/>
      <x:c r="S35" s="362"/>
      <x:c r="T35" s="365"/>
      <x:c r="U35" s="366"/>
      <x:c r="V35" s="281"/>
      <x:c r="W35" s="281"/>
      <x:c r="X35" s="281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361"/>
      <x:c r="B36" s="362"/>
      <x:c r="C36" s="362"/>
      <x:c r="D36" s="362"/>
      <x:c r="E36" s="362"/>
      <x:c r="F36" s="362"/>
      <x:c r="G36" s="362"/>
      <x:c r="H36" s="362"/>
      <x:c r="I36" s="362"/>
      <x:c r="J36" s="362"/>
      <x:c r="K36" s="363"/>
      <x:c r="L36" s="364"/>
      <x:c r="M36" s="364"/>
      <x:c r="N36" s="362"/>
      <x:c r="O36" s="362"/>
      <x:c r="P36" s="362"/>
      <x:c r="Q36" s="362"/>
      <x:c r="R36" s="362"/>
      <x:c r="S36" s="362"/>
      <x:c r="T36" s="365"/>
      <x:c r="U36" s="366"/>
      <x:c r="V36" s="281"/>
      <x:c r="W36" s="281"/>
      <x:c r="X36" s="281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361"/>
      <x:c r="B37" s="362"/>
      <x:c r="C37" s="362"/>
      <x:c r="D37" s="362"/>
      <x:c r="E37" s="362"/>
      <x:c r="F37" s="362"/>
      <x:c r="G37" s="362"/>
      <x:c r="H37" s="362"/>
      <x:c r="I37" s="362"/>
      <x:c r="J37" s="362"/>
      <x:c r="K37" s="363"/>
      <x:c r="L37" s="364"/>
      <x:c r="M37" s="364"/>
      <x:c r="N37" s="362"/>
      <x:c r="O37" s="362"/>
      <x:c r="P37" s="362"/>
      <x:c r="Q37" s="362"/>
      <x:c r="R37" s="362"/>
      <x:c r="S37" s="362"/>
      <x:c r="T37" s="365"/>
      <x:c r="U37" s="366"/>
      <x:c r="V37" s="281"/>
      <x:c r="W37" s="281"/>
      <x:c r="X37" s="281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361"/>
      <x:c r="B38" s="362"/>
      <x:c r="C38" s="362"/>
      <x:c r="D38" s="362"/>
      <x:c r="E38" s="362"/>
      <x:c r="F38" s="362"/>
      <x:c r="G38" s="362"/>
      <x:c r="H38" s="362"/>
      <x:c r="I38" s="362"/>
      <x:c r="J38" s="362"/>
      <x:c r="K38" s="363"/>
      <x:c r="L38" s="364"/>
      <x:c r="M38" s="364"/>
      <x:c r="N38" s="362"/>
      <x:c r="O38" s="362"/>
      <x:c r="P38" s="362"/>
      <x:c r="Q38" s="362"/>
      <x:c r="R38" s="362"/>
      <x:c r="S38" s="362"/>
      <x:c r="T38" s="365"/>
      <x:c r="U38" s="366"/>
      <x:c r="V38" s="281"/>
      <x:c r="W38" s="281"/>
      <x:c r="X38" s="281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361"/>
      <x:c r="B39" s="362"/>
      <x:c r="C39" s="362"/>
      <x:c r="D39" s="362"/>
      <x:c r="E39" s="362"/>
      <x:c r="F39" s="362"/>
      <x:c r="G39" s="362"/>
      <x:c r="H39" s="362"/>
      <x:c r="I39" s="362"/>
      <x:c r="J39" s="362"/>
      <x:c r="K39" s="363"/>
      <x:c r="L39" s="364"/>
      <x:c r="M39" s="364"/>
      <x:c r="N39" s="362"/>
      <x:c r="O39" s="362"/>
      <x:c r="P39" s="362"/>
      <x:c r="Q39" s="362"/>
      <x:c r="R39" s="362"/>
      <x:c r="S39" s="362"/>
      <x:c r="T39" s="365"/>
      <x:c r="U39" s="366"/>
      <x:c r="V39" s="281"/>
      <x:c r="W39" s="281"/>
      <x:c r="X39" s="281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361"/>
      <x:c r="B40" s="362"/>
      <x:c r="C40" s="362"/>
      <x:c r="D40" s="362"/>
      <x:c r="E40" s="362"/>
      <x:c r="F40" s="362"/>
      <x:c r="G40" s="362"/>
      <x:c r="H40" s="362"/>
      <x:c r="I40" s="362"/>
      <x:c r="J40" s="362"/>
      <x:c r="K40" s="363"/>
      <x:c r="L40" s="364"/>
      <x:c r="M40" s="364"/>
      <x:c r="N40" s="362"/>
      <x:c r="O40" s="362"/>
      <x:c r="P40" s="362"/>
      <x:c r="Q40" s="362"/>
      <x:c r="R40" s="362"/>
      <x:c r="S40" s="362"/>
      <x:c r="T40" s="365"/>
      <x:c r="U40" s="366"/>
      <x:c r="V40" s="281"/>
      <x:c r="W40" s="281"/>
      <x:c r="X40" s="281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361"/>
      <x:c r="B41" s="362"/>
      <x:c r="C41" s="362"/>
      <x:c r="D41" s="362"/>
      <x:c r="E41" s="362"/>
      <x:c r="F41" s="362"/>
      <x:c r="G41" s="362"/>
      <x:c r="H41" s="362"/>
      <x:c r="I41" s="362"/>
      <x:c r="J41" s="362"/>
      <x:c r="K41" s="363"/>
      <x:c r="L41" s="364"/>
      <x:c r="M41" s="364"/>
      <x:c r="N41" s="362"/>
      <x:c r="O41" s="362"/>
      <x:c r="P41" s="362"/>
      <x:c r="Q41" s="362"/>
      <x:c r="R41" s="362"/>
      <x:c r="S41" s="362"/>
      <x:c r="T41" s="365"/>
      <x:c r="U41" s="366"/>
      <x:c r="V41" s="281"/>
      <x:c r="W41" s="281"/>
      <x:c r="X41" s="281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361"/>
      <x:c r="B42" s="362"/>
      <x:c r="C42" s="362"/>
      <x:c r="D42" s="362"/>
      <x:c r="E42" s="362"/>
      <x:c r="F42" s="362"/>
      <x:c r="G42" s="362"/>
      <x:c r="H42" s="362"/>
      <x:c r="I42" s="362"/>
      <x:c r="J42" s="362"/>
      <x:c r="K42" s="363"/>
      <x:c r="L42" s="364"/>
      <x:c r="M42" s="364"/>
      <x:c r="N42" s="362"/>
      <x:c r="O42" s="362"/>
      <x:c r="P42" s="362"/>
      <x:c r="Q42" s="362"/>
      <x:c r="R42" s="362"/>
      <x:c r="S42" s="362"/>
      <x:c r="T42" s="365"/>
      <x:c r="U42" s="366"/>
      <x:c r="V42" s="281"/>
      <x:c r="W42" s="281"/>
      <x:c r="X42" s="281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361"/>
      <x:c r="B43" s="362"/>
      <x:c r="C43" s="362"/>
      <x:c r="D43" s="362"/>
      <x:c r="E43" s="362"/>
      <x:c r="F43" s="362"/>
      <x:c r="G43" s="362"/>
      <x:c r="H43" s="362"/>
      <x:c r="I43" s="362"/>
      <x:c r="J43" s="362"/>
      <x:c r="K43" s="363"/>
      <x:c r="L43" s="364"/>
      <x:c r="M43" s="364"/>
      <x:c r="N43" s="362"/>
      <x:c r="O43" s="362"/>
      <x:c r="P43" s="362"/>
      <x:c r="Q43" s="362"/>
      <x:c r="R43" s="362"/>
      <x:c r="S43" s="362"/>
      <x:c r="T43" s="365"/>
      <x:c r="U43" s="366"/>
      <x:c r="V43" s="281"/>
      <x:c r="W43" s="281"/>
      <x:c r="X43" s="281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361"/>
      <x:c r="B44" s="362"/>
      <x:c r="C44" s="362"/>
      <x:c r="D44" s="362"/>
      <x:c r="E44" s="362"/>
      <x:c r="F44" s="362"/>
      <x:c r="G44" s="362"/>
      <x:c r="H44" s="362"/>
      <x:c r="I44" s="362"/>
      <x:c r="J44" s="362"/>
      <x:c r="K44" s="363"/>
      <x:c r="L44" s="364"/>
      <x:c r="M44" s="364"/>
      <x:c r="N44" s="362"/>
      <x:c r="O44" s="362"/>
      <x:c r="P44" s="362"/>
      <x:c r="Q44" s="362"/>
      <x:c r="R44" s="362"/>
      <x:c r="S44" s="362"/>
      <x:c r="T44" s="365"/>
      <x:c r="U44" s="366"/>
      <x:c r="V44" s="281"/>
      <x:c r="W44" s="281"/>
      <x:c r="X44" s="281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361"/>
      <x:c r="B45" s="362"/>
      <x:c r="C45" s="362"/>
      <x:c r="D45" s="362"/>
      <x:c r="E45" s="362"/>
      <x:c r="F45" s="362"/>
      <x:c r="G45" s="362"/>
      <x:c r="H45" s="362"/>
      <x:c r="I45" s="362"/>
      <x:c r="J45" s="362"/>
      <x:c r="K45" s="363"/>
      <x:c r="L45" s="364"/>
      <x:c r="M45" s="364"/>
      <x:c r="N45" s="362"/>
      <x:c r="O45" s="362"/>
      <x:c r="P45" s="362"/>
      <x:c r="Q45" s="362"/>
      <x:c r="R45" s="362"/>
      <x:c r="S45" s="362"/>
      <x:c r="T45" s="365"/>
      <x:c r="U45" s="366"/>
      <x:c r="V45" s="281"/>
      <x:c r="W45" s="281"/>
      <x:c r="X45" s="281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361"/>
      <x:c r="B46" s="362"/>
      <x:c r="C46" s="362"/>
      <x:c r="D46" s="362"/>
      <x:c r="E46" s="362"/>
      <x:c r="F46" s="362"/>
      <x:c r="G46" s="362"/>
      <x:c r="H46" s="362"/>
      <x:c r="I46" s="362"/>
      <x:c r="J46" s="362"/>
      <x:c r="K46" s="363"/>
      <x:c r="L46" s="364"/>
      <x:c r="M46" s="364"/>
      <x:c r="N46" s="362"/>
      <x:c r="O46" s="362"/>
      <x:c r="P46" s="362"/>
      <x:c r="Q46" s="362"/>
      <x:c r="R46" s="362"/>
      <x:c r="S46" s="362"/>
      <x:c r="T46" s="365"/>
      <x:c r="U46" s="366"/>
      <x:c r="V46" s="281"/>
      <x:c r="W46" s="281"/>
      <x:c r="X46" s="281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361"/>
      <x:c r="B47" s="362"/>
      <x:c r="C47" s="362"/>
      <x:c r="D47" s="362"/>
      <x:c r="E47" s="362"/>
      <x:c r="F47" s="362"/>
      <x:c r="G47" s="362"/>
      <x:c r="H47" s="362"/>
      <x:c r="I47" s="362"/>
      <x:c r="J47" s="362"/>
      <x:c r="K47" s="363"/>
      <x:c r="L47" s="364"/>
      <x:c r="M47" s="364"/>
      <x:c r="N47" s="362"/>
      <x:c r="O47" s="362"/>
      <x:c r="P47" s="362"/>
      <x:c r="Q47" s="362"/>
      <x:c r="R47" s="362"/>
      <x:c r="S47" s="362"/>
      <x:c r="T47" s="365"/>
      <x:c r="U47" s="366"/>
      <x:c r="V47" s="281"/>
      <x:c r="W47" s="281"/>
      <x:c r="X47" s="281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361"/>
      <x:c r="B48" s="362"/>
      <x:c r="C48" s="362"/>
      <x:c r="D48" s="362"/>
      <x:c r="E48" s="362"/>
      <x:c r="F48" s="362"/>
      <x:c r="G48" s="362"/>
      <x:c r="H48" s="362"/>
      <x:c r="I48" s="362"/>
      <x:c r="J48" s="362"/>
      <x:c r="K48" s="363"/>
      <x:c r="L48" s="364"/>
      <x:c r="M48" s="364"/>
      <x:c r="N48" s="362"/>
      <x:c r="O48" s="362"/>
      <x:c r="P48" s="362"/>
      <x:c r="Q48" s="362"/>
      <x:c r="R48" s="362"/>
      <x:c r="S48" s="362"/>
      <x:c r="T48" s="365"/>
      <x:c r="U48" s="366"/>
      <x:c r="V48" s="281"/>
      <x:c r="W48" s="281"/>
      <x:c r="X48" s="281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361"/>
      <x:c r="B49" s="362"/>
      <x:c r="C49" s="362"/>
      <x:c r="D49" s="362"/>
      <x:c r="E49" s="362"/>
      <x:c r="F49" s="362"/>
      <x:c r="G49" s="362"/>
      <x:c r="H49" s="362"/>
      <x:c r="I49" s="362"/>
      <x:c r="J49" s="362"/>
      <x:c r="K49" s="363"/>
      <x:c r="L49" s="364"/>
      <x:c r="M49" s="364"/>
      <x:c r="N49" s="362"/>
      <x:c r="O49" s="362"/>
      <x:c r="P49" s="362"/>
      <x:c r="Q49" s="362"/>
      <x:c r="R49" s="362"/>
      <x:c r="S49" s="362"/>
      <x:c r="T49" s="365"/>
      <x:c r="U49" s="366"/>
      <x:c r="V49" s="281"/>
      <x:c r="W49" s="281"/>
      <x:c r="X49" s="281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361"/>
      <x:c r="B50" s="362"/>
      <x:c r="C50" s="362"/>
      <x:c r="D50" s="362"/>
      <x:c r="E50" s="362"/>
      <x:c r="F50" s="362"/>
      <x:c r="G50" s="362"/>
      <x:c r="H50" s="362"/>
      <x:c r="I50" s="362"/>
      <x:c r="J50" s="362"/>
      <x:c r="K50" s="363"/>
      <x:c r="L50" s="364"/>
      <x:c r="M50" s="364"/>
      <x:c r="N50" s="362"/>
      <x:c r="O50" s="362"/>
      <x:c r="P50" s="362"/>
      <x:c r="Q50" s="362"/>
      <x:c r="R50" s="362"/>
      <x:c r="S50" s="362"/>
      <x:c r="T50" s="365"/>
      <x:c r="U50" s="366"/>
      <x:c r="V50" s="281"/>
      <x:c r="W50" s="281"/>
      <x:c r="X50" s="281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361"/>
      <x:c r="B51" s="362"/>
      <x:c r="C51" s="362"/>
      <x:c r="D51" s="362"/>
      <x:c r="E51" s="362"/>
      <x:c r="F51" s="362"/>
      <x:c r="G51" s="362"/>
      <x:c r="H51" s="362"/>
      <x:c r="I51" s="362"/>
      <x:c r="J51" s="362"/>
      <x:c r="K51" s="363"/>
      <x:c r="L51" s="364"/>
      <x:c r="M51" s="364"/>
      <x:c r="N51" s="362"/>
      <x:c r="O51" s="362"/>
      <x:c r="P51" s="362"/>
      <x:c r="Q51" s="362"/>
      <x:c r="R51" s="362"/>
      <x:c r="S51" s="362"/>
      <x:c r="T51" s="365"/>
      <x:c r="U51" s="366"/>
      <x:c r="V51" s="281"/>
      <x:c r="W51" s="281"/>
      <x:c r="X51" s="281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361"/>
      <x:c r="B52" s="362"/>
      <x:c r="C52" s="362"/>
      <x:c r="D52" s="362"/>
      <x:c r="E52" s="362"/>
      <x:c r="F52" s="362"/>
      <x:c r="G52" s="362"/>
      <x:c r="H52" s="362"/>
      <x:c r="I52" s="362"/>
      <x:c r="J52" s="362"/>
      <x:c r="K52" s="363"/>
      <x:c r="L52" s="364"/>
      <x:c r="M52" s="364"/>
      <x:c r="N52" s="362"/>
      <x:c r="O52" s="362"/>
      <x:c r="P52" s="362"/>
      <x:c r="Q52" s="362"/>
      <x:c r="R52" s="362"/>
      <x:c r="S52" s="362"/>
      <x:c r="T52" s="365"/>
      <x:c r="U52" s="366"/>
      <x:c r="V52" s="281"/>
      <x:c r="W52" s="281"/>
      <x:c r="X52" s="281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361"/>
      <x:c r="B53" s="362"/>
      <x:c r="C53" s="362"/>
      <x:c r="D53" s="362"/>
      <x:c r="E53" s="362"/>
      <x:c r="F53" s="362"/>
      <x:c r="G53" s="362"/>
      <x:c r="H53" s="362"/>
      <x:c r="I53" s="362"/>
      <x:c r="J53" s="362"/>
      <x:c r="K53" s="363"/>
      <x:c r="L53" s="364"/>
      <x:c r="M53" s="364"/>
      <x:c r="N53" s="362"/>
      <x:c r="O53" s="362"/>
      <x:c r="P53" s="362"/>
      <x:c r="Q53" s="362"/>
      <x:c r="R53" s="362"/>
      <x:c r="S53" s="362"/>
      <x:c r="T53" s="365"/>
      <x:c r="U53" s="366"/>
      <x:c r="V53" s="281"/>
      <x:c r="W53" s="281"/>
      <x:c r="X53" s="281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361"/>
      <x:c r="B54" s="362"/>
      <x:c r="C54" s="362"/>
      <x:c r="D54" s="362"/>
      <x:c r="E54" s="362"/>
      <x:c r="F54" s="362"/>
      <x:c r="G54" s="362"/>
      <x:c r="H54" s="362"/>
      <x:c r="I54" s="362"/>
      <x:c r="J54" s="362"/>
      <x:c r="K54" s="363"/>
      <x:c r="L54" s="364"/>
      <x:c r="M54" s="364"/>
      <x:c r="N54" s="362"/>
      <x:c r="O54" s="362"/>
      <x:c r="P54" s="362"/>
      <x:c r="Q54" s="362"/>
      <x:c r="R54" s="362"/>
      <x:c r="S54" s="362"/>
      <x:c r="T54" s="365"/>
      <x:c r="U54" s="366"/>
      <x:c r="V54" s="281"/>
      <x:c r="W54" s="281"/>
      <x:c r="X54" s="281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361"/>
      <x:c r="B55" s="362"/>
      <x:c r="C55" s="362"/>
      <x:c r="D55" s="362"/>
      <x:c r="E55" s="362"/>
      <x:c r="F55" s="362"/>
      <x:c r="G55" s="362"/>
      <x:c r="H55" s="362"/>
      <x:c r="I55" s="362"/>
      <x:c r="J55" s="362"/>
      <x:c r="K55" s="363"/>
      <x:c r="L55" s="364"/>
      <x:c r="M55" s="364"/>
      <x:c r="N55" s="362"/>
      <x:c r="O55" s="362"/>
      <x:c r="P55" s="362"/>
      <x:c r="Q55" s="362"/>
      <x:c r="R55" s="362"/>
      <x:c r="S55" s="362"/>
      <x:c r="T55" s="365"/>
      <x:c r="U55" s="366"/>
      <x:c r="V55" s="281"/>
      <x:c r="W55" s="281"/>
      <x:c r="X55" s="281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361"/>
      <x:c r="B56" s="362"/>
      <x:c r="C56" s="362"/>
      <x:c r="D56" s="362"/>
      <x:c r="E56" s="362"/>
      <x:c r="F56" s="362"/>
      <x:c r="G56" s="362"/>
      <x:c r="H56" s="362"/>
      <x:c r="I56" s="362"/>
      <x:c r="J56" s="362"/>
      <x:c r="K56" s="363"/>
      <x:c r="L56" s="364"/>
      <x:c r="M56" s="364"/>
      <x:c r="N56" s="362"/>
      <x:c r="O56" s="362"/>
      <x:c r="P56" s="362"/>
      <x:c r="Q56" s="362"/>
      <x:c r="R56" s="362"/>
      <x:c r="S56" s="362"/>
      <x:c r="T56" s="365"/>
      <x:c r="U56" s="366"/>
      <x:c r="V56" s="281"/>
      <x:c r="W56" s="281"/>
      <x:c r="X56" s="281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361"/>
      <x:c r="B57" s="362"/>
      <x:c r="C57" s="362"/>
      <x:c r="D57" s="362"/>
      <x:c r="E57" s="362"/>
      <x:c r="F57" s="362"/>
      <x:c r="G57" s="362"/>
      <x:c r="H57" s="362"/>
      <x:c r="I57" s="362"/>
      <x:c r="J57" s="362"/>
      <x:c r="K57" s="363"/>
      <x:c r="L57" s="364"/>
      <x:c r="M57" s="364"/>
      <x:c r="N57" s="362"/>
      <x:c r="O57" s="362"/>
      <x:c r="P57" s="362"/>
      <x:c r="Q57" s="362"/>
      <x:c r="R57" s="362"/>
      <x:c r="S57" s="362"/>
      <x:c r="T57" s="365"/>
      <x:c r="U57" s="366"/>
      <x:c r="V57" s="281"/>
      <x:c r="W57" s="281"/>
      <x:c r="X57" s="281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361"/>
      <x:c r="B58" s="362"/>
      <x:c r="C58" s="362"/>
      <x:c r="D58" s="362"/>
      <x:c r="E58" s="362"/>
      <x:c r="F58" s="362"/>
      <x:c r="G58" s="362"/>
      <x:c r="H58" s="362"/>
      <x:c r="I58" s="362"/>
      <x:c r="J58" s="362"/>
      <x:c r="K58" s="363"/>
      <x:c r="L58" s="364"/>
      <x:c r="M58" s="364"/>
      <x:c r="N58" s="362"/>
      <x:c r="O58" s="362"/>
      <x:c r="P58" s="362"/>
      <x:c r="Q58" s="362"/>
      <x:c r="R58" s="362"/>
      <x:c r="S58" s="362"/>
      <x:c r="T58" s="365"/>
      <x:c r="U58" s="366"/>
      <x:c r="V58" s="281"/>
      <x:c r="W58" s="281"/>
      <x:c r="X58" s="281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361"/>
      <x:c r="B59" s="362"/>
      <x:c r="C59" s="362"/>
      <x:c r="D59" s="362"/>
      <x:c r="E59" s="362"/>
      <x:c r="F59" s="362"/>
      <x:c r="G59" s="362"/>
      <x:c r="H59" s="362"/>
      <x:c r="I59" s="362"/>
      <x:c r="J59" s="362"/>
      <x:c r="K59" s="363"/>
      <x:c r="L59" s="364"/>
      <x:c r="M59" s="364"/>
      <x:c r="N59" s="362"/>
      <x:c r="O59" s="362"/>
      <x:c r="P59" s="362"/>
      <x:c r="Q59" s="362"/>
      <x:c r="R59" s="362"/>
      <x:c r="S59" s="362"/>
      <x:c r="T59" s="365"/>
      <x:c r="U59" s="366"/>
      <x:c r="V59" s="281"/>
      <x:c r="W59" s="281"/>
      <x:c r="X59" s="281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361"/>
      <x:c r="B60" s="362"/>
      <x:c r="C60" s="362"/>
      <x:c r="D60" s="362"/>
      <x:c r="E60" s="362"/>
      <x:c r="F60" s="362"/>
      <x:c r="G60" s="362"/>
      <x:c r="H60" s="362"/>
      <x:c r="I60" s="362"/>
      <x:c r="J60" s="362"/>
      <x:c r="K60" s="363"/>
      <x:c r="L60" s="364"/>
      <x:c r="M60" s="364"/>
      <x:c r="N60" s="362"/>
      <x:c r="O60" s="362"/>
      <x:c r="P60" s="362"/>
      <x:c r="Q60" s="362"/>
      <x:c r="R60" s="362"/>
      <x:c r="S60" s="362"/>
      <x:c r="T60" s="365"/>
      <x:c r="U60" s="366"/>
      <x:c r="V60" s="281"/>
      <x:c r="W60" s="281"/>
      <x:c r="X60" s="281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361"/>
      <x:c r="B61" s="362"/>
      <x:c r="C61" s="362"/>
      <x:c r="D61" s="362"/>
      <x:c r="E61" s="362"/>
      <x:c r="F61" s="362"/>
      <x:c r="G61" s="362"/>
      <x:c r="H61" s="362"/>
      <x:c r="I61" s="362"/>
      <x:c r="J61" s="362"/>
      <x:c r="K61" s="363"/>
      <x:c r="L61" s="364"/>
      <x:c r="M61" s="364"/>
      <x:c r="N61" s="362"/>
      <x:c r="O61" s="362"/>
      <x:c r="P61" s="362"/>
      <x:c r="Q61" s="362"/>
      <x:c r="R61" s="362"/>
      <x:c r="S61" s="362"/>
      <x:c r="T61" s="365"/>
      <x:c r="U61" s="366"/>
      <x:c r="V61" s="281"/>
      <x:c r="W61" s="281"/>
      <x:c r="X61" s="281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361"/>
      <x:c r="B62" s="362"/>
      <x:c r="C62" s="362"/>
      <x:c r="D62" s="362"/>
      <x:c r="E62" s="362"/>
      <x:c r="F62" s="362"/>
      <x:c r="G62" s="362"/>
      <x:c r="H62" s="362"/>
      <x:c r="I62" s="362"/>
      <x:c r="J62" s="362"/>
      <x:c r="K62" s="363"/>
      <x:c r="L62" s="364"/>
      <x:c r="M62" s="364"/>
      <x:c r="N62" s="362"/>
      <x:c r="O62" s="362"/>
      <x:c r="P62" s="362"/>
      <x:c r="Q62" s="362"/>
      <x:c r="R62" s="362"/>
      <x:c r="S62" s="362"/>
      <x:c r="T62" s="365"/>
      <x:c r="U62" s="366"/>
      <x:c r="V62" s="281"/>
      <x:c r="W62" s="281"/>
      <x:c r="X62" s="281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361"/>
      <x:c r="B63" s="362"/>
      <x:c r="C63" s="362"/>
      <x:c r="D63" s="362"/>
      <x:c r="E63" s="362"/>
      <x:c r="F63" s="362"/>
      <x:c r="G63" s="362"/>
      <x:c r="H63" s="362"/>
      <x:c r="I63" s="362"/>
      <x:c r="J63" s="362"/>
      <x:c r="K63" s="363"/>
      <x:c r="L63" s="364"/>
      <x:c r="M63" s="364"/>
      <x:c r="N63" s="362"/>
      <x:c r="O63" s="362"/>
      <x:c r="P63" s="362"/>
      <x:c r="Q63" s="362"/>
      <x:c r="R63" s="362"/>
      <x:c r="S63" s="362"/>
      <x:c r="T63" s="365"/>
      <x:c r="U63" s="366"/>
      <x:c r="V63" s="281"/>
      <x:c r="W63" s="281"/>
      <x:c r="X63" s="281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361"/>
      <x:c r="B64" s="362"/>
      <x:c r="C64" s="362"/>
      <x:c r="D64" s="362"/>
      <x:c r="E64" s="362"/>
      <x:c r="F64" s="362"/>
      <x:c r="G64" s="362"/>
      <x:c r="H64" s="362"/>
      <x:c r="I64" s="362"/>
      <x:c r="J64" s="362"/>
      <x:c r="K64" s="363"/>
      <x:c r="L64" s="364"/>
      <x:c r="M64" s="364"/>
      <x:c r="N64" s="362"/>
      <x:c r="O64" s="362"/>
      <x:c r="P64" s="362"/>
      <x:c r="Q64" s="362"/>
      <x:c r="R64" s="362"/>
      <x:c r="S64" s="362"/>
      <x:c r="T64" s="365"/>
      <x:c r="U64" s="366"/>
      <x:c r="V64" s="281"/>
      <x:c r="W64" s="281"/>
      <x:c r="X64" s="281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361"/>
      <x:c r="B65" s="362"/>
      <x:c r="C65" s="362"/>
      <x:c r="D65" s="362"/>
      <x:c r="E65" s="362"/>
      <x:c r="F65" s="362"/>
      <x:c r="G65" s="362"/>
      <x:c r="H65" s="362"/>
      <x:c r="I65" s="362"/>
      <x:c r="J65" s="362"/>
      <x:c r="K65" s="363"/>
      <x:c r="L65" s="364"/>
      <x:c r="M65" s="364"/>
      <x:c r="N65" s="362"/>
      <x:c r="O65" s="362"/>
      <x:c r="P65" s="362"/>
      <x:c r="Q65" s="362"/>
      <x:c r="R65" s="362"/>
      <x:c r="S65" s="362"/>
      <x:c r="T65" s="365"/>
      <x:c r="U65" s="366"/>
      <x:c r="V65" s="281"/>
      <x:c r="W65" s="281"/>
      <x:c r="X65" s="281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361"/>
      <x:c r="B66" s="362"/>
      <x:c r="C66" s="362"/>
      <x:c r="D66" s="362"/>
      <x:c r="E66" s="362"/>
      <x:c r="F66" s="362"/>
      <x:c r="G66" s="362"/>
      <x:c r="H66" s="362"/>
      <x:c r="I66" s="362"/>
      <x:c r="J66" s="362"/>
      <x:c r="K66" s="363"/>
      <x:c r="L66" s="364"/>
      <x:c r="M66" s="364"/>
      <x:c r="N66" s="362"/>
      <x:c r="O66" s="362"/>
      <x:c r="P66" s="362"/>
      <x:c r="Q66" s="362"/>
      <x:c r="R66" s="362"/>
      <x:c r="S66" s="362"/>
      <x:c r="T66" s="365"/>
      <x:c r="U66" s="366"/>
      <x:c r="V66" s="281"/>
      <x:c r="W66" s="281"/>
      <x:c r="X66" s="281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361"/>
      <x:c r="B67" s="362"/>
      <x:c r="C67" s="362"/>
      <x:c r="D67" s="362"/>
      <x:c r="E67" s="362"/>
      <x:c r="F67" s="362"/>
      <x:c r="G67" s="362"/>
      <x:c r="H67" s="362"/>
      <x:c r="I67" s="362"/>
      <x:c r="J67" s="362"/>
      <x:c r="K67" s="363"/>
      <x:c r="L67" s="364"/>
      <x:c r="M67" s="364"/>
      <x:c r="N67" s="362"/>
      <x:c r="O67" s="362"/>
      <x:c r="P67" s="362"/>
      <x:c r="Q67" s="362"/>
      <x:c r="R67" s="362"/>
      <x:c r="S67" s="362"/>
      <x:c r="T67" s="365"/>
      <x:c r="U67" s="366"/>
      <x:c r="V67" s="281"/>
      <x:c r="W67" s="281"/>
      <x:c r="X67" s="281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361"/>
      <x:c r="B68" s="362"/>
      <x:c r="C68" s="362"/>
      <x:c r="D68" s="362"/>
      <x:c r="E68" s="362"/>
      <x:c r="F68" s="362"/>
      <x:c r="G68" s="362"/>
      <x:c r="H68" s="362"/>
      <x:c r="I68" s="362"/>
      <x:c r="J68" s="362"/>
      <x:c r="K68" s="363"/>
      <x:c r="L68" s="364"/>
      <x:c r="M68" s="364"/>
      <x:c r="N68" s="362"/>
      <x:c r="O68" s="362"/>
      <x:c r="P68" s="362"/>
      <x:c r="Q68" s="362"/>
      <x:c r="R68" s="362"/>
      <x:c r="S68" s="362"/>
      <x:c r="T68" s="365"/>
      <x:c r="U68" s="366"/>
      <x:c r="V68" s="281"/>
      <x:c r="W68" s="281"/>
      <x:c r="X68" s="281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361"/>
      <x:c r="B69" s="362"/>
      <x:c r="C69" s="362"/>
      <x:c r="D69" s="362"/>
      <x:c r="E69" s="362"/>
      <x:c r="F69" s="362"/>
      <x:c r="G69" s="362"/>
      <x:c r="H69" s="362"/>
      <x:c r="I69" s="362"/>
      <x:c r="J69" s="362"/>
      <x:c r="K69" s="363"/>
      <x:c r="L69" s="364"/>
      <x:c r="M69" s="364"/>
      <x:c r="N69" s="362"/>
      <x:c r="O69" s="362"/>
      <x:c r="P69" s="362"/>
      <x:c r="Q69" s="362"/>
      <x:c r="R69" s="362"/>
      <x:c r="S69" s="362"/>
      <x:c r="T69" s="365"/>
      <x:c r="U69" s="366"/>
      <x:c r="V69" s="281"/>
      <x:c r="W69" s="281"/>
      <x:c r="X69" s="281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361"/>
      <x:c r="B70" s="362"/>
      <x:c r="C70" s="362"/>
      <x:c r="D70" s="362"/>
      <x:c r="E70" s="362"/>
      <x:c r="F70" s="362"/>
      <x:c r="G70" s="362"/>
      <x:c r="H70" s="362"/>
      <x:c r="I70" s="362"/>
      <x:c r="J70" s="362"/>
      <x:c r="K70" s="363"/>
      <x:c r="L70" s="364"/>
      <x:c r="M70" s="364"/>
      <x:c r="N70" s="362"/>
      <x:c r="O70" s="362"/>
      <x:c r="P70" s="362"/>
      <x:c r="Q70" s="362"/>
      <x:c r="R70" s="362"/>
      <x:c r="S70" s="362"/>
      <x:c r="T70" s="365"/>
      <x:c r="U70" s="366"/>
      <x:c r="V70" s="281"/>
      <x:c r="W70" s="281"/>
      <x:c r="X70" s="281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361"/>
      <x:c r="B71" s="362"/>
      <x:c r="C71" s="362"/>
      <x:c r="D71" s="362"/>
      <x:c r="E71" s="362"/>
      <x:c r="F71" s="362"/>
      <x:c r="G71" s="362"/>
      <x:c r="H71" s="362"/>
      <x:c r="I71" s="362"/>
      <x:c r="J71" s="362"/>
      <x:c r="K71" s="363"/>
      <x:c r="L71" s="364"/>
      <x:c r="M71" s="364"/>
      <x:c r="N71" s="362"/>
      <x:c r="O71" s="362"/>
      <x:c r="P71" s="362"/>
      <x:c r="Q71" s="362"/>
      <x:c r="R71" s="362"/>
      <x:c r="S71" s="362"/>
      <x:c r="T71" s="365"/>
      <x:c r="U71" s="366"/>
      <x:c r="V71" s="281"/>
      <x:c r="W71" s="281"/>
      <x:c r="X71" s="281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361"/>
      <x:c r="B72" s="362"/>
      <x:c r="C72" s="362"/>
      <x:c r="D72" s="362"/>
      <x:c r="E72" s="362"/>
      <x:c r="F72" s="362"/>
      <x:c r="G72" s="362"/>
      <x:c r="H72" s="362"/>
      <x:c r="I72" s="362"/>
      <x:c r="J72" s="362"/>
      <x:c r="K72" s="363"/>
      <x:c r="L72" s="364"/>
      <x:c r="M72" s="364"/>
      <x:c r="N72" s="362"/>
      <x:c r="O72" s="362"/>
      <x:c r="P72" s="362"/>
      <x:c r="Q72" s="362"/>
      <x:c r="R72" s="362"/>
      <x:c r="S72" s="362"/>
      <x:c r="T72" s="365"/>
      <x:c r="U72" s="366"/>
      <x:c r="V72" s="281"/>
      <x:c r="W72" s="281"/>
      <x:c r="X72" s="281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361"/>
      <x:c r="B73" s="362"/>
      <x:c r="C73" s="362"/>
      <x:c r="D73" s="362"/>
      <x:c r="E73" s="362"/>
      <x:c r="F73" s="362"/>
      <x:c r="G73" s="362"/>
      <x:c r="H73" s="362"/>
      <x:c r="I73" s="362"/>
      <x:c r="J73" s="362"/>
      <x:c r="K73" s="363"/>
      <x:c r="L73" s="364"/>
      <x:c r="M73" s="364"/>
      <x:c r="N73" s="362"/>
      <x:c r="O73" s="362"/>
      <x:c r="P73" s="362"/>
      <x:c r="Q73" s="362"/>
      <x:c r="R73" s="362"/>
      <x:c r="S73" s="362"/>
      <x:c r="T73" s="365"/>
      <x:c r="U73" s="366"/>
      <x:c r="V73" s="281"/>
      <x:c r="W73" s="281"/>
      <x:c r="X73" s="281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361"/>
      <x:c r="B74" s="362"/>
      <x:c r="C74" s="362"/>
      <x:c r="D74" s="362"/>
      <x:c r="E74" s="362"/>
      <x:c r="F74" s="362"/>
      <x:c r="G74" s="362"/>
      <x:c r="H74" s="362"/>
      <x:c r="I74" s="362"/>
      <x:c r="J74" s="362"/>
      <x:c r="K74" s="363"/>
      <x:c r="L74" s="364"/>
      <x:c r="M74" s="364"/>
      <x:c r="N74" s="362"/>
      <x:c r="O74" s="362"/>
      <x:c r="P74" s="362"/>
      <x:c r="Q74" s="362"/>
      <x:c r="R74" s="362"/>
      <x:c r="S74" s="362"/>
      <x:c r="T74" s="365"/>
      <x:c r="U74" s="366"/>
      <x:c r="V74" s="281"/>
      <x:c r="W74" s="281"/>
      <x:c r="X74" s="281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361"/>
      <x:c r="B75" s="362"/>
      <x:c r="C75" s="362"/>
      <x:c r="D75" s="362"/>
      <x:c r="E75" s="362"/>
      <x:c r="F75" s="362"/>
      <x:c r="G75" s="362"/>
      <x:c r="H75" s="362"/>
      <x:c r="I75" s="362"/>
      <x:c r="J75" s="362"/>
      <x:c r="K75" s="363"/>
      <x:c r="L75" s="364"/>
      <x:c r="M75" s="364"/>
      <x:c r="N75" s="362"/>
      <x:c r="O75" s="362"/>
      <x:c r="P75" s="362"/>
      <x:c r="Q75" s="362"/>
      <x:c r="R75" s="362"/>
      <x:c r="S75" s="362"/>
      <x:c r="T75" s="365"/>
      <x:c r="U75" s="366"/>
      <x:c r="V75" s="281"/>
      <x:c r="W75" s="281"/>
      <x:c r="X75" s="281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361"/>
      <x:c r="B76" s="362"/>
      <x:c r="C76" s="362"/>
      <x:c r="D76" s="362"/>
      <x:c r="E76" s="362"/>
      <x:c r="F76" s="362"/>
      <x:c r="G76" s="362"/>
      <x:c r="H76" s="362"/>
      <x:c r="I76" s="362"/>
      <x:c r="J76" s="362"/>
      <x:c r="K76" s="363"/>
      <x:c r="L76" s="364"/>
      <x:c r="M76" s="364"/>
      <x:c r="N76" s="362"/>
      <x:c r="O76" s="362"/>
      <x:c r="P76" s="362"/>
      <x:c r="Q76" s="362"/>
      <x:c r="R76" s="362"/>
      <x:c r="S76" s="362"/>
      <x:c r="T76" s="365"/>
      <x:c r="U76" s="366"/>
      <x:c r="V76" s="281"/>
      <x:c r="W76" s="281"/>
      <x:c r="X76" s="281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361"/>
      <x:c r="B77" s="362"/>
      <x:c r="C77" s="362"/>
      <x:c r="D77" s="362"/>
      <x:c r="E77" s="362"/>
      <x:c r="F77" s="362"/>
      <x:c r="G77" s="362"/>
      <x:c r="H77" s="362"/>
      <x:c r="I77" s="362"/>
      <x:c r="J77" s="362"/>
      <x:c r="K77" s="363"/>
      <x:c r="L77" s="364"/>
      <x:c r="M77" s="364"/>
      <x:c r="N77" s="362"/>
      <x:c r="O77" s="362"/>
      <x:c r="P77" s="362"/>
      <x:c r="Q77" s="362"/>
      <x:c r="R77" s="362"/>
      <x:c r="S77" s="362"/>
      <x:c r="T77" s="365"/>
      <x:c r="U77" s="366"/>
      <x:c r="V77" s="281"/>
      <x:c r="W77" s="281"/>
      <x:c r="X77" s="281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361"/>
      <x:c r="B78" s="362"/>
      <x:c r="C78" s="362"/>
      <x:c r="D78" s="362"/>
      <x:c r="E78" s="362"/>
      <x:c r="F78" s="362"/>
      <x:c r="G78" s="362"/>
      <x:c r="H78" s="362"/>
      <x:c r="I78" s="362"/>
      <x:c r="J78" s="362"/>
      <x:c r="K78" s="363"/>
      <x:c r="L78" s="364"/>
      <x:c r="M78" s="364"/>
      <x:c r="N78" s="362"/>
      <x:c r="O78" s="362"/>
      <x:c r="P78" s="362"/>
      <x:c r="Q78" s="362"/>
      <x:c r="R78" s="362"/>
      <x:c r="S78" s="362"/>
      <x:c r="T78" s="365"/>
      <x:c r="U78" s="366"/>
      <x:c r="V78" s="281"/>
      <x:c r="W78" s="281"/>
      <x:c r="X78" s="281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361"/>
      <x:c r="B79" s="362"/>
      <x:c r="C79" s="362"/>
      <x:c r="D79" s="362"/>
      <x:c r="E79" s="362"/>
      <x:c r="F79" s="362"/>
      <x:c r="G79" s="362"/>
      <x:c r="H79" s="362"/>
      <x:c r="I79" s="362"/>
      <x:c r="J79" s="362"/>
      <x:c r="K79" s="363"/>
      <x:c r="L79" s="364"/>
      <x:c r="M79" s="364"/>
      <x:c r="N79" s="362"/>
      <x:c r="O79" s="362"/>
      <x:c r="P79" s="362"/>
      <x:c r="Q79" s="362"/>
      <x:c r="R79" s="362"/>
      <x:c r="S79" s="362"/>
      <x:c r="T79" s="365"/>
      <x:c r="U79" s="366"/>
      <x:c r="V79" s="281"/>
      <x:c r="W79" s="281"/>
      <x:c r="X79" s="281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361"/>
      <x:c r="B80" s="362"/>
      <x:c r="C80" s="362"/>
      <x:c r="D80" s="362"/>
      <x:c r="E80" s="362"/>
      <x:c r="F80" s="362"/>
      <x:c r="G80" s="362"/>
      <x:c r="H80" s="362"/>
      <x:c r="I80" s="362"/>
      <x:c r="J80" s="362"/>
      <x:c r="K80" s="363"/>
      <x:c r="L80" s="364"/>
      <x:c r="M80" s="364"/>
      <x:c r="N80" s="362"/>
      <x:c r="O80" s="362"/>
      <x:c r="P80" s="362"/>
      <x:c r="Q80" s="362"/>
      <x:c r="R80" s="362"/>
      <x:c r="S80" s="362"/>
      <x:c r="T80" s="365"/>
      <x:c r="U80" s="366"/>
      <x:c r="V80" s="281"/>
      <x:c r="W80" s="281"/>
      <x:c r="X80" s="281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361"/>
      <x:c r="B81" s="362"/>
      <x:c r="C81" s="362"/>
      <x:c r="D81" s="362"/>
      <x:c r="E81" s="362"/>
      <x:c r="F81" s="362"/>
      <x:c r="G81" s="362"/>
      <x:c r="H81" s="362"/>
      <x:c r="I81" s="362"/>
      <x:c r="J81" s="362"/>
      <x:c r="K81" s="363"/>
      <x:c r="L81" s="364"/>
      <x:c r="M81" s="364"/>
      <x:c r="N81" s="362"/>
      <x:c r="O81" s="362"/>
      <x:c r="P81" s="362"/>
      <x:c r="Q81" s="362"/>
      <x:c r="R81" s="362"/>
      <x:c r="S81" s="362"/>
      <x:c r="T81" s="365"/>
      <x:c r="U81" s="366"/>
      <x:c r="V81" s="281"/>
      <x:c r="W81" s="281"/>
      <x:c r="X81" s="281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361"/>
      <x:c r="B82" s="362"/>
      <x:c r="C82" s="362"/>
      <x:c r="D82" s="362"/>
      <x:c r="E82" s="362"/>
      <x:c r="F82" s="362"/>
      <x:c r="G82" s="362"/>
      <x:c r="H82" s="362"/>
      <x:c r="I82" s="362"/>
      <x:c r="J82" s="362"/>
      <x:c r="K82" s="363"/>
      <x:c r="L82" s="364"/>
      <x:c r="M82" s="364"/>
      <x:c r="N82" s="362"/>
      <x:c r="O82" s="362"/>
      <x:c r="P82" s="362"/>
      <x:c r="Q82" s="362"/>
      <x:c r="R82" s="362"/>
      <x:c r="S82" s="362"/>
      <x:c r="T82" s="365"/>
      <x:c r="U82" s="366"/>
      <x:c r="V82" s="281"/>
      <x:c r="W82" s="281"/>
      <x:c r="X82" s="281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361"/>
      <x:c r="B83" s="362"/>
      <x:c r="C83" s="362"/>
      <x:c r="D83" s="362"/>
      <x:c r="E83" s="362"/>
      <x:c r="F83" s="362"/>
      <x:c r="G83" s="362"/>
      <x:c r="H83" s="362"/>
      <x:c r="I83" s="362"/>
      <x:c r="J83" s="362"/>
      <x:c r="K83" s="363"/>
      <x:c r="L83" s="364"/>
      <x:c r="M83" s="364"/>
      <x:c r="N83" s="362"/>
      <x:c r="O83" s="362"/>
      <x:c r="P83" s="362"/>
      <x:c r="Q83" s="362"/>
      <x:c r="R83" s="362"/>
      <x:c r="S83" s="362"/>
      <x:c r="T83" s="365"/>
      <x:c r="U83" s="366"/>
      <x:c r="V83" s="281"/>
      <x:c r="W83" s="281"/>
      <x:c r="X83" s="281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361"/>
      <x:c r="B84" s="362"/>
      <x:c r="C84" s="362"/>
      <x:c r="D84" s="362"/>
      <x:c r="E84" s="362"/>
      <x:c r="F84" s="362"/>
      <x:c r="G84" s="362"/>
      <x:c r="H84" s="362"/>
      <x:c r="I84" s="362"/>
      <x:c r="J84" s="362"/>
      <x:c r="K84" s="363"/>
      <x:c r="L84" s="364"/>
      <x:c r="M84" s="364"/>
      <x:c r="N84" s="362"/>
      <x:c r="O84" s="362"/>
      <x:c r="P84" s="362"/>
      <x:c r="Q84" s="362"/>
      <x:c r="R84" s="362"/>
      <x:c r="S84" s="362"/>
      <x:c r="T84" s="365"/>
      <x:c r="U84" s="366"/>
      <x:c r="V84" s="281"/>
      <x:c r="W84" s="281"/>
      <x:c r="X84" s="281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361"/>
      <x:c r="B85" s="362"/>
      <x:c r="C85" s="362"/>
      <x:c r="D85" s="362"/>
      <x:c r="E85" s="362"/>
      <x:c r="F85" s="362"/>
      <x:c r="G85" s="362"/>
      <x:c r="H85" s="362"/>
      <x:c r="I85" s="362"/>
      <x:c r="J85" s="362"/>
      <x:c r="K85" s="363"/>
      <x:c r="L85" s="364"/>
      <x:c r="M85" s="364"/>
      <x:c r="N85" s="362"/>
      <x:c r="O85" s="362"/>
      <x:c r="P85" s="362"/>
      <x:c r="Q85" s="362"/>
      <x:c r="R85" s="362"/>
      <x:c r="S85" s="362"/>
      <x:c r="T85" s="365"/>
      <x:c r="U85" s="366"/>
      <x:c r="V85" s="281"/>
      <x:c r="W85" s="281"/>
      <x:c r="X85" s="281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361"/>
      <x:c r="B86" s="362"/>
      <x:c r="C86" s="362"/>
      <x:c r="D86" s="362"/>
      <x:c r="E86" s="362"/>
      <x:c r="F86" s="362"/>
      <x:c r="G86" s="362"/>
      <x:c r="H86" s="362"/>
      <x:c r="I86" s="362"/>
      <x:c r="J86" s="362"/>
      <x:c r="K86" s="363"/>
      <x:c r="L86" s="364"/>
      <x:c r="M86" s="364"/>
      <x:c r="N86" s="362"/>
      <x:c r="O86" s="362"/>
      <x:c r="P86" s="362"/>
      <x:c r="Q86" s="362"/>
      <x:c r="R86" s="362"/>
      <x:c r="S86" s="362"/>
      <x:c r="T86" s="365"/>
      <x:c r="U86" s="366"/>
      <x:c r="V86" s="281"/>
      <x:c r="W86" s="281"/>
      <x:c r="X86" s="281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361"/>
      <x:c r="B87" s="362"/>
      <x:c r="C87" s="362"/>
      <x:c r="D87" s="362"/>
      <x:c r="E87" s="362"/>
      <x:c r="F87" s="362"/>
      <x:c r="G87" s="362"/>
      <x:c r="H87" s="362"/>
      <x:c r="I87" s="362"/>
      <x:c r="J87" s="362"/>
      <x:c r="K87" s="363"/>
      <x:c r="L87" s="364"/>
      <x:c r="M87" s="364"/>
      <x:c r="N87" s="362"/>
      <x:c r="O87" s="362"/>
      <x:c r="P87" s="362"/>
      <x:c r="Q87" s="362"/>
      <x:c r="R87" s="362"/>
      <x:c r="S87" s="362"/>
      <x:c r="T87" s="365"/>
      <x:c r="U87" s="366"/>
      <x:c r="V87" s="281"/>
      <x:c r="W87" s="281"/>
      <x:c r="X87" s="281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361"/>
      <x:c r="B88" s="362"/>
      <x:c r="C88" s="362"/>
      <x:c r="D88" s="362"/>
      <x:c r="E88" s="362"/>
      <x:c r="F88" s="362"/>
      <x:c r="G88" s="362"/>
      <x:c r="H88" s="362"/>
      <x:c r="I88" s="362"/>
      <x:c r="J88" s="362"/>
      <x:c r="K88" s="363"/>
      <x:c r="L88" s="364"/>
      <x:c r="M88" s="364"/>
      <x:c r="N88" s="362"/>
      <x:c r="O88" s="362"/>
      <x:c r="P88" s="362"/>
      <x:c r="Q88" s="362"/>
      <x:c r="R88" s="362"/>
      <x:c r="S88" s="362"/>
      <x:c r="T88" s="365"/>
      <x:c r="U88" s="366"/>
      <x:c r="V88" s="281"/>
      <x:c r="W88" s="281"/>
      <x:c r="X88" s="281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361"/>
      <x:c r="B89" s="362"/>
      <x:c r="C89" s="362"/>
      <x:c r="D89" s="362"/>
      <x:c r="E89" s="362"/>
      <x:c r="F89" s="362"/>
      <x:c r="G89" s="362"/>
      <x:c r="H89" s="362"/>
      <x:c r="I89" s="362"/>
      <x:c r="J89" s="362"/>
      <x:c r="K89" s="363"/>
      <x:c r="L89" s="364"/>
      <x:c r="M89" s="364"/>
      <x:c r="N89" s="362"/>
      <x:c r="O89" s="362"/>
      <x:c r="P89" s="362"/>
      <x:c r="Q89" s="362"/>
      <x:c r="R89" s="362"/>
      <x:c r="S89" s="362"/>
      <x:c r="T89" s="365"/>
      <x:c r="U89" s="366"/>
      <x:c r="V89" s="281"/>
      <x:c r="W89" s="281"/>
      <x:c r="X89" s="281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361"/>
      <x:c r="B90" s="362"/>
      <x:c r="C90" s="362"/>
      <x:c r="D90" s="362"/>
      <x:c r="E90" s="362"/>
      <x:c r="F90" s="362"/>
      <x:c r="G90" s="362"/>
      <x:c r="H90" s="362"/>
      <x:c r="I90" s="362"/>
      <x:c r="J90" s="362"/>
      <x:c r="K90" s="363"/>
      <x:c r="L90" s="364"/>
      <x:c r="M90" s="364"/>
      <x:c r="N90" s="362"/>
      <x:c r="O90" s="362"/>
      <x:c r="P90" s="362"/>
      <x:c r="Q90" s="362"/>
      <x:c r="R90" s="362"/>
      <x:c r="S90" s="362"/>
      <x:c r="T90" s="365"/>
      <x:c r="U90" s="366"/>
      <x:c r="V90" s="281"/>
      <x:c r="W90" s="281"/>
      <x:c r="X90" s="281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361"/>
      <x:c r="B91" s="362"/>
      <x:c r="C91" s="362"/>
      <x:c r="D91" s="362"/>
      <x:c r="E91" s="362"/>
      <x:c r="F91" s="362"/>
      <x:c r="G91" s="362"/>
      <x:c r="H91" s="362"/>
      <x:c r="I91" s="362"/>
      <x:c r="J91" s="362"/>
      <x:c r="K91" s="363"/>
      <x:c r="L91" s="364"/>
      <x:c r="M91" s="364"/>
      <x:c r="N91" s="362"/>
      <x:c r="O91" s="362"/>
      <x:c r="P91" s="362"/>
      <x:c r="Q91" s="362"/>
      <x:c r="R91" s="362"/>
      <x:c r="S91" s="362"/>
      <x:c r="T91" s="365"/>
      <x:c r="U91" s="366"/>
      <x:c r="V91" s="281"/>
      <x:c r="W91" s="281"/>
      <x:c r="X91" s="281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361"/>
      <x:c r="B92" s="362"/>
      <x:c r="C92" s="362"/>
      <x:c r="D92" s="362"/>
      <x:c r="E92" s="362"/>
      <x:c r="F92" s="362"/>
      <x:c r="G92" s="362"/>
      <x:c r="H92" s="362"/>
      <x:c r="I92" s="362"/>
      <x:c r="J92" s="362"/>
      <x:c r="K92" s="363"/>
      <x:c r="L92" s="364"/>
      <x:c r="M92" s="364"/>
      <x:c r="N92" s="362"/>
      <x:c r="O92" s="362"/>
      <x:c r="P92" s="362"/>
      <x:c r="Q92" s="362"/>
      <x:c r="R92" s="362"/>
      <x:c r="S92" s="362"/>
      <x:c r="T92" s="365"/>
      <x:c r="U92" s="366"/>
      <x:c r="V92" s="281"/>
      <x:c r="W92" s="281"/>
      <x:c r="X92" s="281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361"/>
      <x:c r="B93" s="362"/>
      <x:c r="C93" s="362"/>
      <x:c r="D93" s="362"/>
      <x:c r="E93" s="362"/>
      <x:c r="F93" s="362"/>
      <x:c r="G93" s="362"/>
      <x:c r="H93" s="362"/>
      <x:c r="I93" s="362"/>
      <x:c r="J93" s="362"/>
      <x:c r="K93" s="363"/>
      <x:c r="L93" s="364"/>
      <x:c r="M93" s="364"/>
      <x:c r="N93" s="362"/>
      <x:c r="O93" s="362"/>
      <x:c r="P93" s="362"/>
      <x:c r="Q93" s="362"/>
      <x:c r="R93" s="362"/>
      <x:c r="S93" s="362"/>
      <x:c r="T93" s="365"/>
      <x:c r="U93" s="366"/>
      <x:c r="V93" s="281"/>
      <x:c r="W93" s="281"/>
      <x:c r="X93" s="281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361"/>
      <x:c r="B94" s="362"/>
      <x:c r="C94" s="362"/>
      <x:c r="D94" s="362"/>
      <x:c r="E94" s="362"/>
      <x:c r="F94" s="362"/>
      <x:c r="G94" s="362"/>
      <x:c r="H94" s="362"/>
      <x:c r="I94" s="362"/>
      <x:c r="J94" s="362"/>
      <x:c r="K94" s="363"/>
      <x:c r="L94" s="364"/>
      <x:c r="M94" s="364"/>
      <x:c r="N94" s="362"/>
      <x:c r="O94" s="362"/>
      <x:c r="P94" s="362"/>
      <x:c r="Q94" s="362"/>
      <x:c r="R94" s="362"/>
      <x:c r="S94" s="362"/>
      <x:c r="T94" s="365"/>
      <x:c r="U94" s="366"/>
      <x:c r="V94" s="281"/>
      <x:c r="W94" s="281"/>
      <x:c r="X94" s="281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361"/>
      <x:c r="B95" s="362"/>
      <x:c r="C95" s="362"/>
      <x:c r="D95" s="362"/>
      <x:c r="E95" s="362"/>
      <x:c r="F95" s="362"/>
      <x:c r="G95" s="362"/>
      <x:c r="H95" s="362"/>
      <x:c r="I95" s="362"/>
      <x:c r="J95" s="362"/>
      <x:c r="K95" s="363"/>
      <x:c r="L95" s="364"/>
      <x:c r="M95" s="364"/>
      <x:c r="N95" s="362"/>
      <x:c r="O95" s="362"/>
      <x:c r="P95" s="362"/>
      <x:c r="Q95" s="362"/>
      <x:c r="R95" s="362"/>
      <x:c r="S95" s="362"/>
      <x:c r="T95" s="365"/>
      <x:c r="U95" s="366"/>
      <x:c r="V95" s="281"/>
      <x:c r="W95" s="281"/>
      <x:c r="X95" s="281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361"/>
      <x:c r="B96" s="362"/>
      <x:c r="C96" s="362"/>
      <x:c r="D96" s="362"/>
      <x:c r="E96" s="362"/>
      <x:c r="F96" s="362"/>
      <x:c r="G96" s="362"/>
      <x:c r="H96" s="362"/>
      <x:c r="I96" s="362"/>
      <x:c r="J96" s="362"/>
      <x:c r="K96" s="363"/>
      <x:c r="L96" s="364"/>
      <x:c r="M96" s="364"/>
      <x:c r="N96" s="362"/>
      <x:c r="O96" s="362"/>
      <x:c r="P96" s="362"/>
      <x:c r="Q96" s="362"/>
      <x:c r="R96" s="362"/>
      <x:c r="S96" s="362"/>
      <x:c r="T96" s="365"/>
      <x:c r="U96" s="366"/>
      <x:c r="V96" s="281"/>
      <x:c r="W96" s="281"/>
      <x:c r="X96" s="281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361"/>
      <x:c r="B97" s="362"/>
      <x:c r="C97" s="362"/>
      <x:c r="D97" s="362"/>
      <x:c r="E97" s="362"/>
      <x:c r="F97" s="362"/>
      <x:c r="G97" s="362"/>
      <x:c r="H97" s="362"/>
      <x:c r="I97" s="362"/>
      <x:c r="J97" s="362"/>
      <x:c r="K97" s="363"/>
      <x:c r="L97" s="364"/>
      <x:c r="M97" s="364"/>
      <x:c r="N97" s="362"/>
      <x:c r="O97" s="362"/>
      <x:c r="P97" s="362"/>
      <x:c r="Q97" s="362"/>
      <x:c r="R97" s="362"/>
      <x:c r="S97" s="362"/>
      <x:c r="T97" s="365"/>
      <x:c r="U97" s="366"/>
      <x:c r="V97" s="281"/>
      <x:c r="W97" s="281"/>
      <x:c r="X97" s="281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361"/>
      <x:c r="B98" s="362"/>
      <x:c r="C98" s="362"/>
      <x:c r="D98" s="362"/>
      <x:c r="E98" s="362"/>
      <x:c r="F98" s="362"/>
      <x:c r="G98" s="362"/>
      <x:c r="H98" s="362"/>
      <x:c r="I98" s="362"/>
      <x:c r="J98" s="362"/>
      <x:c r="K98" s="363"/>
      <x:c r="L98" s="364"/>
      <x:c r="M98" s="364"/>
      <x:c r="N98" s="362"/>
      <x:c r="O98" s="362"/>
      <x:c r="P98" s="362"/>
      <x:c r="Q98" s="362"/>
      <x:c r="R98" s="362"/>
      <x:c r="S98" s="362"/>
      <x:c r="T98" s="365"/>
      <x:c r="U98" s="366"/>
      <x:c r="V98" s="281"/>
      <x:c r="W98" s="281"/>
      <x:c r="X98" s="281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361"/>
      <x:c r="B99" s="362"/>
      <x:c r="C99" s="362"/>
      <x:c r="D99" s="362"/>
      <x:c r="E99" s="362"/>
      <x:c r="F99" s="362"/>
      <x:c r="G99" s="362"/>
      <x:c r="H99" s="362"/>
      <x:c r="I99" s="362"/>
      <x:c r="J99" s="362"/>
      <x:c r="K99" s="363"/>
      <x:c r="L99" s="364"/>
      <x:c r="M99" s="364"/>
      <x:c r="N99" s="362"/>
      <x:c r="O99" s="362"/>
      <x:c r="P99" s="362"/>
      <x:c r="Q99" s="362"/>
      <x:c r="R99" s="362"/>
      <x:c r="S99" s="362"/>
      <x:c r="T99" s="365"/>
      <x:c r="U99" s="366"/>
      <x:c r="V99" s="281"/>
      <x:c r="W99" s="281"/>
      <x:c r="X99" s="281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361"/>
      <x:c r="B100" s="362"/>
      <x:c r="C100" s="362"/>
      <x:c r="D100" s="362"/>
      <x:c r="E100" s="362"/>
      <x:c r="F100" s="362"/>
      <x:c r="G100" s="362"/>
      <x:c r="H100" s="362"/>
      <x:c r="I100" s="362"/>
      <x:c r="J100" s="362"/>
      <x:c r="K100" s="363"/>
      <x:c r="L100" s="364"/>
      <x:c r="M100" s="364"/>
      <x:c r="N100" s="362"/>
      <x:c r="O100" s="362"/>
      <x:c r="P100" s="362"/>
      <x:c r="Q100" s="362"/>
      <x:c r="R100" s="362"/>
      <x:c r="S100" s="362"/>
      <x:c r="T100" s="365"/>
      <x:c r="U100" s="366"/>
      <x:c r="V100" s="281"/>
      <x:c r="W100" s="281"/>
      <x:c r="X100" s="281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361"/>
      <x:c r="B101" s="362"/>
      <x:c r="C101" s="362"/>
      <x:c r="D101" s="362"/>
      <x:c r="E101" s="362"/>
      <x:c r="F101" s="362"/>
      <x:c r="G101" s="362"/>
      <x:c r="H101" s="362"/>
      <x:c r="I101" s="362"/>
      <x:c r="J101" s="362"/>
      <x:c r="K101" s="363"/>
      <x:c r="L101" s="364"/>
      <x:c r="M101" s="364"/>
      <x:c r="N101" s="362"/>
      <x:c r="O101" s="362"/>
      <x:c r="P101" s="362"/>
      <x:c r="Q101" s="362"/>
      <x:c r="R101" s="362"/>
      <x:c r="S101" s="362"/>
      <x:c r="T101" s="365"/>
      <x:c r="U101" s="366"/>
      <x:c r="V101" s="281"/>
      <x:c r="W101" s="281"/>
      <x:c r="X101" s="281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361"/>
      <x:c r="B102" s="362"/>
      <x:c r="C102" s="362"/>
      <x:c r="D102" s="362"/>
      <x:c r="E102" s="362"/>
      <x:c r="F102" s="362"/>
      <x:c r="G102" s="362"/>
      <x:c r="H102" s="362"/>
      <x:c r="I102" s="362"/>
      <x:c r="J102" s="362"/>
      <x:c r="K102" s="363"/>
      <x:c r="L102" s="364"/>
      <x:c r="M102" s="364"/>
      <x:c r="N102" s="362"/>
      <x:c r="O102" s="362"/>
      <x:c r="P102" s="362"/>
      <x:c r="Q102" s="362"/>
      <x:c r="R102" s="362"/>
      <x:c r="S102" s="362"/>
      <x:c r="T102" s="365"/>
      <x:c r="U102" s="366"/>
      <x:c r="V102" s="281"/>
      <x:c r="W102" s="281"/>
      <x:c r="X102" s="281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361"/>
      <x:c r="B103" s="362"/>
      <x:c r="C103" s="362"/>
      <x:c r="D103" s="362"/>
      <x:c r="E103" s="362"/>
      <x:c r="F103" s="362"/>
      <x:c r="G103" s="362"/>
      <x:c r="H103" s="362"/>
      <x:c r="I103" s="362"/>
      <x:c r="J103" s="362"/>
      <x:c r="K103" s="363"/>
      <x:c r="L103" s="364"/>
      <x:c r="M103" s="364"/>
      <x:c r="N103" s="362"/>
      <x:c r="O103" s="362"/>
      <x:c r="P103" s="362"/>
      <x:c r="Q103" s="362"/>
      <x:c r="R103" s="362"/>
      <x:c r="S103" s="362"/>
      <x:c r="T103" s="365"/>
      <x:c r="U103" s="366"/>
      <x:c r="V103" s="281"/>
      <x:c r="W103" s="281"/>
      <x:c r="X103" s="281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361"/>
      <x:c r="B104" s="362"/>
      <x:c r="C104" s="362"/>
      <x:c r="D104" s="362"/>
      <x:c r="E104" s="362"/>
      <x:c r="F104" s="362"/>
      <x:c r="G104" s="362"/>
      <x:c r="H104" s="362"/>
      <x:c r="I104" s="362"/>
      <x:c r="J104" s="362"/>
      <x:c r="K104" s="363"/>
      <x:c r="L104" s="364"/>
      <x:c r="M104" s="364"/>
      <x:c r="N104" s="362"/>
      <x:c r="O104" s="362"/>
      <x:c r="P104" s="362"/>
      <x:c r="Q104" s="362"/>
      <x:c r="R104" s="362"/>
      <x:c r="S104" s="362"/>
      <x:c r="T104" s="365"/>
      <x:c r="U104" s="366"/>
      <x:c r="V104" s="281"/>
      <x:c r="W104" s="281"/>
      <x:c r="X104" s="281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361"/>
      <x:c r="B105" s="362"/>
      <x:c r="C105" s="362"/>
      <x:c r="D105" s="362"/>
      <x:c r="E105" s="362"/>
      <x:c r="F105" s="362"/>
      <x:c r="G105" s="362"/>
      <x:c r="H105" s="362"/>
      <x:c r="I105" s="362"/>
      <x:c r="J105" s="362"/>
      <x:c r="K105" s="363"/>
      <x:c r="L105" s="364"/>
      <x:c r="M105" s="364"/>
      <x:c r="N105" s="362"/>
      <x:c r="O105" s="362"/>
      <x:c r="P105" s="362"/>
      <x:c r="Q105" s="362"/>
      <x:c r="R105" s="362"/>
      <x:c r="S105" s="362"/>
      <x:c r="T105" s="365"/>
      <x:c r="U105" s="366"/>
      <x:c r="V105" s="281"/>
      <x:c r="W105" s="281"/>
      <x:c r="X105" s="281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361"/>
      <x:c r="B106" s="362"/>
      <x:c r="C106" s="362"/>
      <x:c r="D106" s="362"/>
      <x:c r="E106" s="362"/>
      <x:c r="F106" s="362"/>
      <x:c r="G106" s="362"/>
      <x:c r="H106" s="362"/>
      <x:c r="I106" s="362"/>
      <x:c r="J106" s="362"/>
      <x:c r="K106" s="363"/>
      <x:c r="L106" s="364"/>
      <x:c r="M106" s="364"/>
      <x:c r="N106" s="362"/>
      <x:c r="O106" s="362"/>
      <x:c r="P106" s="362"/>
      <x:c r="Q106" s="362"/>
      <x:c r="R106" s="362"/>
      <x:c r="S106" s="362"/>
      <x:c r="T106" s="365"/>
      <x:c r="U106" s="366"/>
      <x:c r="V106" s="281"/>
      <x:c r="W106" s="281"/>
      <x:c r="X106" s="281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361"/>
      <x:c r="B107" s="362"/>
      <x:c r="C107" s="362"/>
      <x:c r="D107" s="362"/>
      <x:c r="E107" s="362"/>
      <x:c r="F107" s="362"/>
      <x:c r="G107" s="362"/>
      <x:c r="H107" s="362"/>
      <x:c r="I107" s="362"/>
      <x:c r="J107" s="362"/>
      <x:c r="K107" s="363"/>
      <x:c r="L107" s="364"/>
      <x:c r="M107" s="364"/>
      <x:c r="N107" s="362"/>
      <x:c r="O107" s="362"/>
      <x:c r="P107" s="362"/>
      <x:c r="Q107" s="362"/>
      <x:c r="R107" s="362"/>
      <x:c r="S107" s="362"/>
      <x:c r="T107" s="365"/>
      <x:c r="U107" s="366"/>
      <x:c r="V107" s="281"/>
      <x:c r="W107" s="281"/>
      <x:c r="X107" s="281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361"/>
      <x:c r="B108" s="362"/>
      <x:c r="C108" s="362"/>
      <x:c r="D108" s="362"/>
      <x:c r="E108" s="362"/>
      <x:c r="F108" s="362"/>
      <x:c r="G108" s="362"/>
      <x:c r="H108" s="362"/>
      <x:c r="I108" s="362"/>
      <x:c r="J108" s="362"/>
      <x:c r="K108" s="363"/>
      <x:c r="L108" s="364"/>
      <x:c r="M108" s="364"/>
      <x:c r="N108" s="362"/>
      <x:c r="O108" s="362"/>
      <x:c r="P108" s="362"/>
      <x:c r="Q108" s="362"/>
      <x:c r="R108" s="362"/>
      <x:c r="S108" s="362"/>
      <x:c r="T108" s="365"/>
      <x:c r="U108" s="366"/>
      <x:c r="V108" s="281"/>
      <x:c r="W108" s="281"/>
      <x:c r="X108" s="281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361"/>
      <x:c r="B109" s="362"/>
      <x:c r="C109" s="362"/>
      <x:c r="D109" s="362"/>
      <x:c r="E109" s="362"/>
      <x:c r="F109" s="362"/>
      <x:c r="G109" s="362"/>
      <x:c r="H109" s="362"/>
      <x:c r="I109" s="362"/>
      <x:c r="J109" s="362"/>
      <x:c r="K109" s="363"/>
      <x:c r="L109" s="364"/>
      <x:c r="M109" s="364"/>
      <x:c r="N109" s="362"/>
      <x:c r="O109" s="362"/>
      <x:c r="P109" s="362"/>
      <x:c r="Q109" s="362"/>
      <x:c r="R109" s="362"/>
      <x:c r="S109" s="362"/>
      <x:c r="T109" s="365"/>
      <x:c r="U109" s="366"/>
      <x:c r="V109" s="281"/>
      <x:c r="W109" s="281"/>
      <x:c r="X109" s="281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361"/>
      <x:c r="B110" s="362"/>
      <x:c r="C110" s="362"/>
      <x:c r="D110" s="362"/>
      <x:c r="E110" s="362"/>
      <x:c r="F110" s="362"/>
      <x:c r="G110" s="362"/>
      <x:c r="H110" s="362"/>
      <x:c r="I110" s="362"/>
      <x:c r="J110" s="362"/>
      <x:c r="K110" s="363"/>
      <x:c r="L110" s="364"/>
      <x:c r="M110" s="364"/>
      <x:c r="N110" s="362"/>
      <x:c r="O110" s="362"/>
      <x:c r="P110" s="362"/>
      <x:c r="Q110" s="362"/>
      <x:c r="R110" s="362"/>
      <x:c r="S110" s="362"/>
      <x:c r="T110" s="365"/>
      <x:c r="U110" s="366"/>
      <x:c r="V110" s="281"/>
      <x:c r="W110" s="281"/>
      <x:c r="X110" s="281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361"/>
      <x:c r="B111" s="362"/>
      <x:c r="C111" s="362"/>
      <x:c r="D111" s="362"/>
      <x:c r="E111" s="362"/>
      <x:c r="F111" s="362"/>
      <x:c r="G111" s="362"/>
      <x:c r="H111" s="362"/>
      <x:c r="I111" s="362"/>
      <x:c r="J111" s="362"/>
      <x:c r="K111" s="363"/>
      <x:c r="L111" s="364"/>
      <x:c r="M111" s="364"/>
      <x:c r="N111" s="362"/>
      <x:c r="O111" s="362"/>
      <x:c r="P111" s="362"/>
      <x:c r="Q111" s="362"/>
      <x:c r="R111" s="362"/>
      <x:c r="S111" s="362"/>
      <x:c r="T111" s="365"/>
      <x:c r="U111" s="366"/>
      <x:c r="V111" s="281"/>
      <x:c r="W111" s="281"/>
      <x:c r="X111" s="281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361"/>
      <x:c r="B112" s="362"/>
      <x:c r="C112" s="362"/>
      <x:c r="D112" s="362"/>
      <x:c r="E112" s="362"/>
      <x:c r="F112" s="362"/>
      <x:c r="G112" s="362"/>
      <x:c r="H112" s="362"/>
      <x:c r="I112" s="362"/>
      <x:c r="J112" s="362"/>
      <x:c r="K112" s="363"/>
      <x:c r="L112" s="364"/>
      <x:c r="M112" s="364"/>
      <x:c r="N112" s="362"/>
      <x:c r="O112" s="362"/>
      <x:c r="P112" s="362"/>
      <x:c r="Q112" s="362"/>
      <x:c r="R112" s="362"/>
      <x:c r="S112" s="362"/>
      <x:c r="T112" s="365"/>
      <x:c r="U112" s="366"/>
      <x:c r="V112" s="281"/>
      <x:c r="W112" s="281"/>
      <x:c r="X112" s="281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361"/>
      <x:c r="B113" s="362"/>
      <x:c r="C113" s="362"/>
      <x:c r="D113" s="362"/>
      <x:c r="E113" s="362"/>
      <x:c r="F113" s="362"/>
      <x:c r="G113" s="362"/>
      <x:c r="H113" s="362"/>
      <x:c r="I113" s="362"/>
      <x:c r="J113" s="362"/>
      <x:c r="K113" s="363"/>
      <x:c r="L113" s="364"/>
      <x:c r="M113" s="364"/>
      <x:c r="N113" s="362"/>
      <x:c r="O113" s="362"/>
      <x:c r="P113" s="362"/>
      <x:c r="Q113" s="362"/>
      <x:c r="R113" s="362"/>
      <x:c r="S113" s="362"/>
      <x:c r="T113" s="365"/>
      <x:c r="U113" s="366"/>
      <x:c r="V113" s="281"/>
      <x:c r="W113" s="281"/>
      <x:c r="X113" s="281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361"/>
      <x:c r="B114" s="362"/>
      <x:c r="C114" s="362"/>
      <x:c r="D114" s="362"/>
      <x:c r="E114" s="362"/>
      <x:c r="F114" s="362"/>
      <x:c r="G114" s="362"/>
      <x:c r="H114" s="362"/>
      <x:c r="I114" s="362"/>
      <x:c r="J114" s="362"/>
      <x:c r="K114" s="363"/>
      <x:c r="L114" s="364"/>
      <x:c r="M114" s="364"/>
      <x:c r="N114" s="362"/>
      <x:c r="O114" s="362"/>
      <x:c r="P114" s="362"/>
      <x:c r="Q114" s="362"/>
      <x:c r="R114" s="362"/>
      <x:c r="S114" s="362"/>
      <x:c r="T114" s="365"/>
      <x:c r="U114" s="366"/>
      <x:c r="V114" s="281"/>
      <x:c r="W114" s="281"/>
      <x:c r="X114" s="281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361"/>
      <x:c r="B115" s="362"/>
      <x:c r="C115" s="362"/>
      <x:c r="D115" s="362"/>
      <x:c r="E115" s="362"/>
      <x:c r="F115" s="362"/>
      <x:c r="G115" s="362"/>
      <x:c r="H115" s="362"/>
      <x:c r="I115" s="362"/>
      <x:c r="J115" s="362"/>
      <x:c r="K115" s="363"/>
      <x:c r="L115" s="364"/>
      <x:c r="M115" s="364"/>
      <x:c r="N115" s="362"/>
      <x:c r="O115" s="362"/>
      <x:c r="P115" s="362"/>
      <x:c r="Q115" s="362"/>
      <x:c r="R115" s="362"/>
      <x:c r="S115" s="362"/>
      <x:c r="T115" s="365"/>
      <x:c r="U115" s="366"/>
      <x:c r="V115" s="281"/>
      <x:c r="W115" s="281"/>
      <x:c r="X115" s="281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361"/>
      <x:c r="B116" s="362"/>
      <x:c r="C116" s="362"/>
      <x:c r="D116" s="362"/>
      <x:c r="E116" s="362"/>
      <x:c r="F116" s="362"/>
      <x:c r="G116" s="362"/>
      <x:c r="H116" s="362"/>
      <x:c r="I116" s="362"/>
      <x:c r="J116" s="362"/>
      <x:c r="K116" s="363"/>
      <x:c r="L116" s="364"/>
      <x:c r="M116" s="364"/>
      <x:c r="N116" s="362"/>
      <x:c r="O116" s="362"/>
      <x:c r="P116" s="362"/>
      <x:c r="Q116" s="362"/>
      <x:c r="R116" s="362"/>
      <x:c r="S116" s="362"/>
      <x:c r="T116" s="365"/>
      <x:c r="U116" s="366"/>
      <x:c r="V116" s="281"/>
      <x:c r="W116" s="281"/>
      <x:c r="X116" s="281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361"/>
      <x:c r="B117" s="362"/>
      <x:c r="C117" s="362"/>
      <x:c r="D117" s="362"/>
      <x:c r="E117" s="362"/>
      <x:c r="F117" s="362"/>
      <x:c r="G117" s="362"/>
      <x:c r="H117" s="362"/>
      <x:c r="I117" s="362"/>
      <x:c r="J117" s="362"/>
      <x:c r="K117" s="363"/>
      <x:c r="L117" s="364"/>
      <x:c r="M117" s="364"/>
      <x:c r="N117" s="362"/>
      <x:c r="O117" s="362"/>
      <x:c r="P117" s="362"/>
      <x:c r="Q117" s="362"/>
      <x:c r="R117" s="362"/>
      <x:c r="S117" s="362"/>
      <x:c r="T117" s="365"/>
      <x:c r="U117" s="366"/>
      <x:c r="V117" s="281"/>
      <x:c r="W117" s="281"/>
      <x:c r="X117" s="281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361"/>
      <x:c r="B118" s="362"/>
      <x:c r="C118" s="362"/>
      <x:c r="D118" s="362"/>
      <x:c r="E118" s="362"/>
      <x:c r="F118" s="362"/>
      <x:c r="G118" s="362"/>
      <x:c r="H118" s="362"/>
      <x:c r="I118" s="362"/>
      <x:c r="J118" s="362"/>
      <x:c r="K118" s="363"/>
      <x:c r="L118" s="364"/>
      <x:c r="M118" s="364"/>
      <x:c r="N118" s="362"/>
      <x:c r="O118" s="362"/>
      <x:c r="P118" s="362"/>
      <x:c r="Q118" s="362"/>
      <x:c r="R118" s="362"/>
      <x:c r="S118" s="362"/>
      <x:c r="T118" s="365"/>
      <x:c r="U118" s="366"/>
      <x:c r="V118" s="281"/>
      <x:c r="W118" s="281"/>
      <x:c r="X118" s="281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361"/>
      <x:c r="B119" s="362"/>
      <x:c r="C119" s="362"/>
      <x:c r="D119" s="362"/>
      <x:c r="E119" s="362"/>
      <x:c r="F119" s="362"/>
      <x:c r="G119" s="362"/>
      <x:c r="H119" s="362"/>
      <x:c r="I119" s="362"/>
      <x:c r="J119" s="362"/>
      <x:c r="K119" s="363"/>
      <x:c r="L119" s="364"/>
      <x:c r="M119" s="364"/>
      <x:c r="N119" s="362"/>
      <x:c r="O119" s="362"/>
      <x:c r="P119" s="362"/>
      <x:c r="Q119" s="362"/>
      <x:c r="R119" s="362"/>
      <x:c r="S119" s="362"/>
      <x:c r="T119" s="365"/>
      <x:c r="U119" s="366"/>
      <x:c r="V119" s="281"/>
      <x:c r="W119" s="281"/>
      <x:c r="X119" s="281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361"/>
      <x:c r="B120" s="362"/>
      <x:c r="C120" s="362"/>
      <x:c r="D120" s="362"/>
      <x:c r="E120" s="362"/>
      <x:c r="F120" s="362"/>
      <x:c r="G120" s="362"/>
      <x:c r="H120" s="362"/>
      <x:c r="I120" s="362"/>
      <x:c r="J120" s="362"/>
      <x:c r="K120" s="363"/>
      <x:c r="L120" s="364"/>
      <x:c r="M120" s="364"/>
      <x:c r="N120" s="362"/>
      <x:c r="O120" s="362"/>
      <x:c r="P120" s="362"/>
      <x:c r="Q120" s="362"/>
      <x:c r="R120" s="362"/>
      <x:c r="S120" s="362"/>
      <x:c r="T120" s="365"/>
      <x:c r="U120" s="366"/>
      <x:c r="V120" s="281"/>
      <x:c r="W120" s="281"/>
      <x:c r="X120" s="281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361"/>
      <x:c r="B121" s="362"/>
      <x:c r="C121" s="362"/>
      <x:c r="D121" s="362"/>
      <x:c r="E121" s="362"/>
      <x:c r="F121" s="362"/>
      <x:c r="G121" s="362"/>
      <x:c r="H121" s="362"/>
      <x:c r="I121" s="362"/>
      <x:c r="J121" s="362"/>
      <x:c r="K121" s="363"/>
      <x:c r="L121" s="364"/>
      <x:c r="M121" s="364"/>
      <x:c r="N121" s="362"/>
      <x:c r="O121" s="362"/>
      <x:c r="P121" s="362"/>
      <x:c r="Q121" s="362"/>
      <x:c r="R121" s="362"/>
      <x:c r="S121" s="362"/>
      <x:c r="T121" s="365"/>
      <x:c r="U121" s="366"/>
      <x:c r="V121" s="281"/>
      <x:c r="W121" s="281"/>
      <x:c r="X121" s="281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361"/>
      <x:c r="B122" s="362"/>
      <x:c r="C122" s="362"/>
      <x:c r="D122" s="362"/>
      <x:c r="E122" s="362"/>
      <x:c r="F122" s="362"/>
      <x:c r="G122" s="362"/>
      <x:c r="H122" s="362"/>
      <x:c r="I122" s="362"/>
      <x:c r="J122" s="362"/>
      <x:c r="K122" s="363"/>
      <x:c r="L122" s="364"/>
      <x:c r="M122" s="364"/>
      <x:c r="N122" s="362"/>
      <x:c r="O122" s="362"/>
      <x:c r="P122" s="362"/>
      <x:c r="Q122" s="362"/>
      <x:c r="R122" s="362"/>
      <x:c r="S122" s="362"/>
      <x:c r="T122" s="365"/>
      <x:c r="U122" s="366"/>
      <x:c r="V122" s="281"/>
      <x:c r="W122" s="281"/>
      <x:c r="X122" s="281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361"/>
      <x:c r="B123" s="362"/>
      <x:c r="C123" s="362"/>
      <x:c r="D123" s="362"/>
      <x:c r="E123" s="362"/>
      <x:c r="F123" s="362"/>
      <x:c r="G123" s="362"/>
      <x:c r="H123" s="362"/>
      <x:c r="I123" s="362"/>
      <x:c r="J123" s="362"/>
      <x:c r="K123" s="363"/>
      <x:c r="L123" s="364"/>
      <x:c r="M123" s="364"/>
      <x:c r="N123" s="362"/>
      <x:c r="O123" s="362"/>
      <x:c r="P123" s="362"/>
      <x:c r="Q123" s="362"/>
      <x:c r="R123" s="362"/>
      <x:c r="S123" s="362"/>
      <x:c r="T123" s="365"/>
      <x:c r="U123" s="366"/>
      <x:c r="V123" s="281"/>
      <x:c r="W123" s="281"/>
      <x:c r="X123" s="281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361"/>
      <x:c r="B124" s="362"/>
      <x:c r="C124" s="362"/>
      <x:c r="D124" s="362"/>
      <x:c r="E124" s="362"/>
      <x:c r="F124" s="362"/>
      <x:c r="G124" s="362"/>
      <x:c r="H124" s="362"/>
      <x:c r="I124" s="362"/>
      <x:c r="J124" s="362"/>
      <x:c r="K124" s="363"/>
      <x:c r="L124" s="364"/>
      <x:c r="M124" s="364"/>
      <x:c r="N124" s="362"/>
      <x:c r="O124" s="362"/>
      <x:c r="P124" s="362"/>
      <x:c r="Q124" s="362"/>
      <x:c r="R124" s="362"/>
      <x:c r="S124" s="362"/>
      <x:c r="T124" s="365"/>
      <x:c r="U124" s="366"/>
      <x:c r="V124" s="281"/>
      <x:c r="W124" s="281"/>
      <x:c r="X124" s="281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361"/>
      <x:c r="B125" s="362"/>
      <x:c r="C125" s="362"/>
      <x:c r="D125" s="362"/>
      <x:c r="E125" s="362"/>
      <x:c r="F125" s="362"/>
      <x:c r="G125" s="362"/>
      <x:c r="H125" s="362"/>
      <x:c r="I125" s="362"/>
      <x:c r="J125" s="362"/>
      <x:c r="K125" s="363"/>
      <x:c r="L125" s="364"/>
      <x:c r="M125" s="364"/>
      <x:c r="N125" s="362"/>
      <x:c r="O125" s="362"/>
      <x:c r="P125" s="362"/>
      <x:c r="Q125" s="362"/>
      <x:c r="R125" s="362"/>
      <x:c r="S125" s="362"/>
      <x:c r="T125" s="365"/>
      <x:c r="U125" s="366"/>
      <x:c r="V125" s="281"/>
      <x:c r="W125" s="281"/>
      <x:c r="X125" s="281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361"/>
      <x:c r="B126" s="362"/>
      <x:c r="C126" s="362"/>
      <x:c r="D126" s="362"/>
      <x:c r="E126" s="362"/>
      <x:c r="F126" s="362"/>
      <x:c r="G126" s="362"/>
      <x:c r="H126" s="362"/>
      <x:c r="I126" s="362"/>
      <x:c r="J126" s="362"/>
      <x:c r="K126" s="363"/>
      <x:c r="L126" s="364"/>
      <x:c r="M126" s="364"/>
      <x:c r="N126" s="362"/>
      <x:c r="O126" s="362"/>
      <x:c r="P126" s="362"/>
      <x:c r="Q126" s="362"/>
      <x:c r="R126" s="362"/>
      <x:c r="S126" s="362"/>
      <x:c r="T126" s="365"/>
      <x:c r="U126" s="366"/>
      <x:c r="V126" s="281"/>
      <x:c r="W126" s="281"/>
      <x:c r="X126" s="281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361"/>
      <x:c r="B127" s="362"/>
      <x:c r="C127" s="362"/>
      <x:c r="D127" s="362"/>
      <x:c r="E127" s="362"/>
      <x:c r="F127" s="362"/>
      <x:c r="G127" s="362"/>
      <x:c r="H127" s="362"/>
      <x:c r="I127" s="362"/>
      <x:c r="J127" s="362"/>
      <x:c r="K127" s="363"/>
      <x:c r="L127" s="364"/>
      <x:c r="M127" s="364"/>
      <x:c r="N127" s="362"/>
      <x:c r="O127" s="362"/>
      <x:c r="P127" s="362"/>
      <x:c r="Q127" s="362"/>
      <x:c r="R127" s="362"/>
      <x:c r="S127" s="362"/>
      <x:c r="T127" s="365"/>
      <x:c r="U127" s="366"/>
      <x:c r="V127" s="281"/>
      <x:c r="W127" s="281"/>
      <x:c r="X127" s="281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361"/>
      <x:c r="B128" s="362"/>
      <x:c r="C128" s="362"/>
      <x:c r="D128" s="362"/>
      <x:c r="E128" s="362"/>
      <x:c r="F128" s="362"/>
      <x:c r="G128" s="362"/>
      <x:c r="H128" s="362"/>
      <x:c r="I128" s="362"/>
      <x:c r="J128" s="362"/>
      <x:c r="K128" s="363"/>
      <x:c r="L128" s="364"/>
      <x:c r="M128" s="364"/>
      <x:c r="N128" s="362"/>
      <x:c r="O128" s="362"/>
      <x:c r="P128" s="362"/>
      <x:c r="Q128" s="362"/>
      <x:c r="R128" s="362"/>
      <x:c r="S128" s="362"/>
      <x:c r="T128" s="365"/>
      <x:c r="U128" s="366"/>
      <x:c r="V128" s="281"/>
      <x:c r="W128" s="281"/>
      <x:c r="X128" s="281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361"/>
      <x:c r="B129" s="362"/>
      <x:c r="C129" s="362"/>
      <x:c r="D129" s="362"/>
      <x:c r="E129" s="362"/>
      <x:c r="F129" s="362"/>
      <x:c r="G129" s="362"/>
      <x:c r="H129" s="362"/>
      <x:c r="I129" s="362"/>
      <x:c r="J129" s="362"/>
      <x:c r="K129" s="363"/>
      <x:c r="L129" s="364"/>
      <x:c r="M129" s="364"/>
      <x:c r="N129" s="362"/>
      <x:c r="O129" s="362"/>
      <x:c r="P129" s="362"/>
      <x:c r="Q129" s="362"/>
      <x:c r="R129" s="362"/>
      <x:c r="S129" s="362"/>
      <x:c r="T129" s="365"/>
      <x:c r="U129" s="366"/>
      <x:c r="V129" s="281"/>
      <x:c r="W129" s="281"/>
      <x:c r="X129" s="281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361"/>
      <x:c r="B130" s="362"/>
      <x:c r="C130" s="362"/>
      <x:c r="D130" s="362"/>
      <x:c r="E130" s="362"/>
      <x:c r="F130" s="362"/>
      <x:c r="G130" s="362"/>
      <x:c r="H130" s="362"/>
      <x:c r="I130" s="362"/>
      <x:c r="J130" s="362"/>
      <x:c r="K130" s="363"/>
      <x:c r="L130" s="364"/>
      <x:c r="M130" s="364"/>
      <x:c r="N130" s="362"/>
      <x:c r="O130" s="362"/>
      <x:c r="P130" s="362"/>
      <x:c r="Q130" s="362"/>
      <x:c r="R130" s="362"/>
      <x:c r="S130" s="362"/>
      <x:c r="T130" s="365"/>
      <x:c r="U130" s="366"/>
      <x:c r="V130" s="281"/>
      <x:c r="W130" s="281"/>
      <x:c r="X130" s="281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361"/>
      <x:c r="B131" s="362"/>
      <x:c r="C131" s="362"/>
      <x:c r="D131" s="362"/>
      <x:c r="E131" s="362"/>
      <x:c r="F131" s="362"/>
      <x:c r="G131" s="362"/>
      <x:c r="H131" s="362"/>
      <x:c r="I131" s="362"/>
      <x:c r="J131" s="362"/>
      <x:c r="K131" s="363"/>
      <x:c r="L131" s="364"/>
      <x:c r="M131" s="364"/>
      <x:c r="N131" s="362"/>
      <x:c r="O131" s="362"/>
      <x:c r="P131" s="362"/>
      <x:c r="Q131" s="362"/>
      <x:c r="R131" s="362"/>
      <x:c r="S131" s="362"/>
      <x:c r="T131" s="365"/>
      <x:c r="U131" s="366"/>
      <x:c r="V131" s="281"/>
      <x:c r="W131" s="281"/>
      <x:c r="X131" s="281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361"/>
      <x:c r="B132" s="362"/>
      <x:c r="C132" s="362"/>
      <x:c r="D132" s="362"/>
      <x:c r="E132" s="362"/>
      <x:c r="F132" s="362"/>
      <x:c r="G132" s="362"/>
      <x:c r="H132" s="362"/>
      <x:c r="I132" s="362"/>
      <x:c r="J132" s="362"/>
      <x:c r="K132" s="363"/>
      <x:c r="L132" s="364"/>
      <x:c r="M132" s="364"/>
      <x:c r="N132" s="362"/>
      <x:c r="O132" s="362"/>
      <x:c r="P132" s="362"/>
      <x:c r="Q132" s="362"/>
      <x:c r="R132" s="362"/>
      <x:c r="S132" s="362"/>
      <x:c r="T132" s="365"/>
      <x:c r="U132" s="366"/>
      <x:c r="V132" s="281"/>
      <x:c r="W132" s="281"/>
      <x:c r="X132" s="281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361"/>
      <x:c r="B133" s="362"/>
      <x:c r="C133" s="362"/>
      <x:c r="D133" s="362"/>
      <x:c r="E133" s="362"/>
      <x:c r="F133" s="362"/>
      <x:c r="G133" s="362"/>
      <x:c r="H133" s="362"/>
      <x:c r="I133" s="362"/>
      <x:c r="J133" s="362"/>
      <x:c r="K133" s="363"/>
      <x:c r="L133" s="364"/>
      <x:c r="M133" s="364"/>
      <x:c r="N133" s="362"/>
      <x:c r="O133" s="362"/>
      <x:c r="P133" s="362"/>
      <x:c r="Q133" s="362"/>
      <x:c r="R133" s="362"/>
      <x:c r="S133" s="362"/>
      <x:c r="T133" s="365"/>
      <x:c r="U133" s="366"/>
      <x:c r="V133" s="281"/>
      <x:c r="W133" s="281"/>
      <x:c r="X133" s="281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361"/>
      <x:c r="B134" s="362"/>
      <x:c r="C134" s="362"/>
      <x:c r="D134" s="362"/>
      <x:c r="E134" s="362"/>
      <x:c r="F134" s="362"/>
      <x:c r="G134" s="362"/>
      <x:c r="H134" s="362"/>
      <x:c r="I134" s="362"/>
      <x:c r="J134" s="362"/>
      <x:c r="K134" s="363"/>
      <x:c r="L134" s="364"/>
      <x:c r="M134" s="364"/>
      <x:c r="N134" s="362"/>
      <x:c r="O134" s="362"/>
      <x:c r="P134" s="362"/>
      <x:c r="Q134" s="362"/>
      <x:c r="R134" s="362"/>
      <x:c r="S134" s="362"/>
      <x:c r="T134" s="365"/>
      <x:c r="U134" s="366"/>
      <x:c r="V134" s="281"/>
      <x:c r="W134" s="281"/>
      <x:c r="X134" s="281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361"/>
      <x:c r="B135" s="362"/>
      <x:c r="C135" s="362"/>
      <x:c r="D135" s="362"/>
      <x:c r="E135" s="362"/>
      <x:c r="F135" s="362"/>
      <x:c r="G135" s="362"/>
      <x:c r="H135" s="362"/>
      <x:c r="I135" s="362"/>
      <x:c r="J135" s="362"/>
      <x:c r="K135" s="363"/>
      <x:c r="L135" s="364"/>
      <x:c r="M135" s="364"/>
      <x:c r="N135" s="362"/>
      <x:c r="O135" s="362"/>
      <x:c r="P135" s="362"/>
      <x:c r="Q135" s="362"/>
      <x:c r="R135" s="362"/>
      <x:c r="S135" s="362"/>
      <x:c r="T135" s="365"/>
      <x:c r="U135" s="366"/>
      <x:c r="V135" s="281"/>
      <x:c r="W135" s="281"/>
      <x:c r="X135" s="281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361"/>
      <x:c r="B136" s="362"/>
      <x:c r="C136" s="362"/>
      <x:c r="D136" s="362"/>
      <x:c r="E136" s="362"/>
      <x:c r="F136" s="362"/>
      <x:c r="G136" s="362"/>
      <x:c r="H136" s="362"/>
      <x:c r="I136" s="362"/>
      <x:c r="J136" s="362"/>
      <x:c r="K136" s="363"/>
      <x:c r="L136" s="364"/>
      <x:c r="M136" s="364"/>
      <x:c r="N136" s="362"/>
      <x:c r="O136" s="362"/>
      <x:c r="P136" s="362"/>
      <x:c r="Q136" s="362"/>
      <x:c r="R136" s="362"/>
      <x:c r="S136" s="362"/>
      <x:c r="T136" s="365"/>
      <x:c r="U136" s="366"/>
      <x:c r="V136" s="281"/>
      <x:c r="W136" s="281"/>
      <x:c r="X136" s="281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361"/>
      <x:c r="B137" s="362"/>
      <x:c r="C137" s="362"/>
      <x:c r="D137" s="362"/>
      <x:c r="E137" s="362"/>
      <x:c r="F137" s="362"/>
      <x:c r="G137" s="362"/>
      <x:c r="H137" s="362"/>
      <x:c r="I137" s="362"/>
      <x:c r="J137" s="362"/>
      <x:c r="K137" s="363"/>
      <x:c r="L137" s="364"/>
      <x:c r="M137" s="364"/>
      <x:c r="N137" s="362"/>
      <x:c r="O137" s="362"/>
      <x:c r="P137" s="362"/>
      <x:c r="Q137" s="362"/>
      <x:c r="R137" s="362"/>
      <x:c r="S137" s="362"/>
      <x:c r="T137" s="365"/>
      <x:c r="U137" s="366"/>
      <x:c r="V137" s="281"/>
      <x:c r="W137" s="281"/>
      <x:c r="X137" s="281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361"/>
      <x:c r="B138" s="362"/>
      <x:c r="C138" s="362"/>
      <x:c r="D138" s="362"/>
      <x:c r="E138" s="362"/>
      <x:c r="F138" s="362"/>
      <x:c r="G138" s="362"/>
      <x:c r="H138" s="362"/>
      <x:c r="I138" s="362"/>
      <x:c r="J138" s="362"/>
      <x:c r="K138" s="363"/>
      <x:c r="L138" s="364"/>
      <x:c r="M138" s="364"/>
      <x:c r="N138" s="362"/>
      <x:c r="O138" s="362"/>
      <x:c r="P138" s="362"/>
      <x:c r="Q138" s="362"/>
      <x:c r="R138" s="362"/>
      <x:c r="S138" s="362"/>
      <x:c r="T138" s="365"/>
      <x:c r="U138" s="366"/>
      <x:c r="V138" s="281"/>
      <x:c r="W138" s="281"/>
      <x:c r="X138" s="281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361"/>
      <x:c r="B139" s="362"/>
      <x:c r="C139" s="362"/>
      <x:c r="D139" s="362"/>
      <x:c r="E139" s="362"/>
      <x:c r="F139" s="362"/>
      <x:c r="G139" s="362"/>
      <x:c r="H139" s="362"/>
      <x:c r="I139" s="362"/>
      <x:c r="J139" s="362"/>
      <x:c r="K139" s="363"/>
      <x:c r="L139" s="364"/>
      <x:c r="M139" s="364"/>
      <x:c r="N139" s="362"/>
      <x:c r="O139" s="362"/>
      <x:c r="P139" s="362"/>
      <x:c r="Q139" s="362"/>
      <x:c r="R139" s="362"/>
      <x:c r="S139" s="362"/>
      <x:c r="T139" s="365"/>
      <x:c r="U139" s="366"/>
      <x:c r="V139" s="281"/>
      <x:c r="W139" s="281"/>
      <x:c r="X139" s="281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361"/>
      <x:c r="B140" s="362"/>
      <x:c r="C140" s="362"/>
      <x:c r="D140" s="362"/>
      <x:c r="E140" s="362"/>
      <x:c r="F140" s="362"/>
      <x:c r="G140" s="362"/>
      <x:c r="H140" s="362"/>
      <x:c r="I140" s="362"/>
      <x:c r="J140" s="362"/>
      <x:c r="K140" s="363"/>
      <x:c r="L140" s="364"/>
      <x:c r="M140" s="364"/>
      <x:c r="N140" s="362"/>
      <x:c r="O140" s="362"/>
      <x:c r="P140" s="362"/>
      <x:c r="Q140" s="362"/>
      <x:c r="R140" s="362"/>
      <x:c r="S140" s="362"/>
      <x:c r="T140" s="365"/>
      <x:c r="U140" s="366"/>
      <x:c r="V140" s="281"/>
      <x:c r="W140" s="281"/>
      <x:c r="X140" s="281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361"/>
      <x:c r="B141" s="362"/>
      <x:c r="C141" s="362"/>
      <x:c r="D141" s="362"/>
      <x:c r="E141" s="362"/>
      <x:c r="F141" s="362"/>
      <x:c r="G141" s="362"/>
      <x:c r="H141" s="362"/>
      <x:c r="I141" s="362"/>
      <x:c r="J141" s="362"/>
      <x:c r="K141" s="363"/>
      <x:c r="L141" s="364"/>
      <x:c r="M141" s="364"/>
      <x:c r="N141" s="362"/>
      <x:c r="O141" s="362"/>
      <x:c r="P141" s="362"/>
      <x:c r="Q141" s="362"/>
      <x:c r="R141" s="362"/>
      <x:c r="S141" s="362"/>
      <x:c r="T141" s="365"/>
      <x:c r="U141" s="366"/>
      <x:c r="V141" s="281"/>
      <x:c r="W141" s="281"/>
      <x:c r="X141" s="281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361"/>
      <x:c r="B142" s="362"/>
      <x:c r="C142" s="362"/>
      <x:c r="D142" s="362"/>
      <x:c r="E142" s="362"/>
      <x:c r="F142" s="362"/>
      <x:c r="G142" s="362"/>
      <x:c r="H142" s="362"/>
      <x:c r="I142" s="362"/>
      <x:c r="J142" s="362"/>
      <x:c r="K142" s="363"/>
      <x:c r="L142" s="364"/>
      <x:c r="M142" s="364"/>
      <x:c r="N142" s="362"/>
      <x:c r="O142" s="362"/>
      <x:c r="P142" s="362"/>
      <x:c r="Q142" s="362"/>
      <x:c r="R142" s="362"/>
      <x:c r="S142" s="362"/>
      <x:c r="T142" s="365"/>
      <x:c r="U142" s="366"/>
      <x:c r="V142" s="281"/>
      <x:c r="W142" s="281"/>
      <x:c r="X142" s="281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361"/>
      <x:c r="B143" s="362"/>
      <x:c r="C143" s="362"/>
      <x:c r="D143" s="362"/>
      <x:c r="E143" s="362"/>
      <x:c r="F143" s="362"/>
      <x:c r="G143" s="362"/>
      <x:c r="H143" s="362"/>
      <x:c r="I143" s="362"/>
      <x:c r="J143" s="362"/>
      <x:c r="K143" s="363"/>
      <x:c r="L143" s="364"/>
      <x:c r="M143" s="364"/>
      <x:c r="N143" s="362"/>
      <x:c r="O143" s="362"/>
      <x:c r="P143" s="362"/>
      <x:c r="Q143" s="362"/>
      <x:c r="R143" s="362"/>
      <x:c r="S143" s="362"/>
      <x:c r="T143" s="365"/>
      <x:c r="U143" s="366"/>
      <x:c r="V143" s="281"/>
      <x:c r="W143" s="281"/>
      <x:c r="X143" s="281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361"/>
      <x:c r="B144" s="362"/>
      <x:c r="C144" s="362"/>
      <x:c r="D144" s="362"/>
      <x:c r="E144" s="362"/>
      <x:c r="F144" s="362"/>
      <x:c r="G144" s="362"/>
      <x:c r="H144" s="362"/>
      <x:c r="I144" s="362"/>
      <x:c r="J144" s="362"/>
      <x:c r="K144" s="363"/>
      <x:c r="L144" s="364"/>
      <x:c r="M144" s="364"/>
      <x:c r="N144" s="362"/>
      <x:c r="O144" s="362"/>
      <x:c r="P144" s="362"/>
      <x:c r="Q144" s="362"/>
      <x:c r="R144" s="362"/>
      <x:c r="S144" s="362"/>
      <x:c r="T144" s="365"/>
      <x:c r="U144" s="366"/>
      <x:c r="V144" s="281"/>
      <x:c r="W144" s="281"/>
      <x:c r="X144" s="281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361"/>
      <x:c r="B145" s="362"/>
      <x:c r="C145" s="362"/>
      <x:c r="D145" s="362"/>
      <x:c r="E145" s="362"/>
      <x:c r="F145" s="362"/>
      <x:c r="G145" s="362"/>
      <x:c r="H145" s="362"/>
      <x:c r="I145" s="362"/>
      <x:c r="J145" s="362"/>
      <x:c r="K145" s="363"/>
      <x:c r="L145" s="364"/>
      <x:c r="M145" s="364"/>
      <x:c r="N145" s="362"/>
      <x:c r="O145" s="362"/>
      <x:c r="P145" s="362"/>
      <x:c r="Q145" s="362"/>
      <x:c r="R145" s="362"/>
      <x:c r="S145" s="362"/>
      <x:c r="T145" s="365"/>
      <x:c r="U145" s="366"/>
      <x:c r="V145" s="281"/>
      <x:c r="W145" s="281"/>
      <x:c r="X145" s="281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361"/>
      <x:c r="B146" s="362"/>
      <x:c r="C146" s="362"/>
      <x:c r="D146" s="362"/>
      <x:c r="E146" s="362"/>
      <x:c r="F146" s="362"/>
      <x:c r="G146" s="362"/>
      <x:c r="H146" s="362"/>
      <x:c r="I146" s="362"/>
      <x:c r="J146" s="362"/>
      <x:c r="K146" s="363"/>
      <x:c r="L146" s="364"/>
      <x:c r="M146" s="364"/>
      <x:c r="N146" s="362"/>
      <x:c r="O146" s="362"/>
      <x:c r="P146" s="362"/>
      <x:c r="Q146" s="362"/>
      <x:c r="R146" s="362"/>
      <x:c r="S146" s="362"/>
      <x:c r="T146" s="365"/>
      <x:c r="U146" s="366"/>
      <x:c r="V146" s="281"/>
      <x:c r="W146" s="281"/>
      <x:c r="X146" s="281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361"/>
      <x:c r="B147" s="362"/>
      <x:c r="C147" s="362"/>
      <x:c r="D147" s="362"/>
      <x:c r="E147" s="362"/>
      <x:c r="F147" s="362"/>
      <x:c r="G147" s="362"/>
      <x:c r="H147" s="362"/>
      <x:c r="I147" s="362"/>
      <x:c r="J147" s="362"/>
      <x:c r="K147" s="363"/>
      <x:c r="L147" s="364"/>
      <x:c r="M147" s="364"/>
      <x:c r="N147" s="362"/>
      <x:c r="O147" s="362"/>
      <x:c r="P147" s="362"/>
      <x:c r="Q147" s="362"/>
      <x:c r="R147" s="362"/>
      <x:c r="S147" s="362"/>
      <x:c r="T147" s="365"/>
      <x:c r="U147" s="366"/>
      <x:c r="V147" s="281"/>
      <x:c r="W147" s="281"/>
      <x:c r="X147" s="281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361"/>
      <x:c r="B148" s="362"/>
      <x:c r="C148" s="362"/>
      <x:c r="D148" s="362"/>
      <x:c r="E148" s="362"/>
      <x:c r="F148" s="362"/>
      <x:c r="G148" s="362"/>
      <x:c r="H148" s="362"/>
      <x:c r="I148" s="362"/>
      <x:c r="J148" s="362"/>
      <x:c r="K148" s="363"/>
      <x:c r="L148" s="364"/>
      <x:c r="M148" s="364"/>
      <x:c r="N148" s="362"/>
      <x:c r="O148" s="362"/>
      <x:c r="P148" s="362"/>
      <x:c r="Q148" s="362"/>
      <x:c r="R148" s="362"/>
      <x:c r="S148" s="362"/>
      <x:c r="T148" s="365"/>
      <x:c r="U148" s="366"/>
      <x:c r="V148" s="281"/>
      <x:c r="W148" s="281"/>
      <x:c r="X148" s="281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361"/>
      <x:c r="B149" s="362"/>
      <x:c r="C149" s="362"/>
      <x:c r="D149" s="362"/>
      <x:c r="E149" s="362"/>
      <x:c r="F149" s="362"/>
      <x:c r="G149" s="362"/>
      <x:c r="H149" s="362"/>
      <x:c r="I149" s="362"/>
      <x:c r="J149" s="362"/>
      <x:c r="K149" s="363"/>
      <x:c r="L149" s="364"/>
      <x:c r="M149" s="364"/>
      <x:c r="N149" s="362"/>
      <x:c r="O149" s="362"/>
      <x:c r="P149" s="362"/>
      <x:c r="Q149" s="362"/>
      <x:c r="R149" s="362"/>
      <x:c r="S149" s="362"/>
      <x:c r="T149" s="365"/>
      <x:c r="U149" s="366"/>
      <x:c r="V149" s="281"/>
      <x:c r="W149" s="281"/>
      <x:c r="X149" s="281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361"/>
      <x:c r="B150" s="362"/>
      <x:c r="C150" s="362"/>
      <x:c r="D150" s="362"/>
      <x:c r="E150" s="362"/>
      <x:c r="F150" s="362"/>
      <x:c r="G150" s="362"/>
      <x:c r="H150" s="362"/>
      <x:c r="I150" s="362"/>
      <x:c r="J150" s="362"/>
      <x:c r="K150" s="363"/>
      <x:c r="L150" s="364"/>
      <x:c r="M150" s="364"/>
      <x:c r="N150" s="362"/>
      <x:c r="O150" s="362"/>
      <x:c r="P150" s="362"/>
      <x:c r="Q150" s="362"/>
      <x:c r="R150" s="362"/>
      <x:c r="S150" s="362"/>
      <x:c r="T150" s="365"/>
      <x:c r="U150" s="366"/>
      <x:c r="V150" s="281"/>
      <x:c r="W150" s="281"/>
      <x:c r="X150" s="281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361"/>
      <x:c r="B151" s="362"/>
      <x:c r="C151" s="362"/>
      <x:c r="D151" s="362"/>
      <x:c r="E151" s="362"/>
      <x:c r="F151" s="362"/>
      <x:c r="G151" s="362"/>
      <x:c r="H151" s="362"/>
      <x:c r="I151" s="362"/>
      <x:c r="J151" s="362"/>
      <x:c r="K151" s="363"/>
      <x:c r="L151" s="364"/>
      <x:c r="M151" s="364"/>
      <x:c r="N151" s="362"/>
      <x:c r="O151" s="362"/>
      <x:c r="P151" s="362"/>
      <x:c r="Q151" s="362"/>
      <x:c r="R151" s="362"/>
      <x:c r="S151" s="362"/>
      <x:c r="T151" s="365"/>
      <x:c r="U151" s="366"/>
      <x:c r="V151" s="281"/>
      <x:c r="W151" s="281"/>
      <x:c r="X151" s="281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361"/>
      <x:c r="B152" s="362"/>
      <x:c r="C152" s="362"/>
      <x:c r="D152" s="362"/>
      <x:c r="E152" s="362"/>
      <x:c r="F152" s="362"/>
      <x:c r="G152" s="362"/>
      <x:c r="H152" s="362"/>
      <x:c r="I152" s="362"/>
      <x:c r="J152" s="362"/>
      <x:c r="K152" s="363"/>
      <x:c r="L152" s="364"/>
      <x:c r="M152" s="364"/>
      <x:c r="N152" s="362"/>
      <x:c r="O152" s="362"/>
      <x:c r="P152" s="362"/>
      <x:c r="Q152" s="362"/>
      <x:c r="R152" s="362"/>
      <x:c r="S152" s="362"/>
      <x:c r="T152" s="365"/>
      <x:c r="U152" s="366"/>
      <x:c r="V152" s="281"/>
      <x:c r="W152" s="281"/>
      <x:c r="X152" s="281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361"/>
      <x:c r="B153" s="362"/>
      <x:c r="C153" s="362"/>
      <x:c r="D153" s="362"/>
      <x:c r="E153" s="362"/>
      <x:c r="F153" s="362"/>
      <x:c r="G153" s="362"/>
      <x:c r="H153" s="362"/>
      <x:c r="I153" s="362"/>
      <x:c r="J153" s="362"/>
      <x:c r="K153" s="363"/>
      <x:c r="L153" s="364"/>
      <x:c r="M153" s="364"/>
      <x:c r="N153" s="362"/>
      <x:c r="O153" s="362"/>
      <x:c r="P153" s="362"/>
      <x:c r="Q153" s="362"/>
      <x:c r="R153" s="362"/>
      <x:c r="S153" s="362"/>
      <x:c r="T153" s="365"/>
      <x:c r="U153" s="366"/>
      <x:c r="V153" s="281"/>
      <x:c r="W153" s="281"/>
      <x:c r="X153" s="281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361"/>
      <x:c r="B154" s="362"/>
      <x:c r="C154" s="362"/>
      <x:c r="D154" s="362"/>
      <x:c r="E154" s="362"/>
      <x:c r="F154" s="362"/>
      <x:c r="G154" s="362"/>
      <x:c r="H154" s="362"/>
      <x:c r="I154" s="362"/>
      <x:c r="J154" s="362"/>
      <x:c r="K154" s="363"/>
      <x:c r="L154" s="364"/>
      <x:c r="M154" s="364"/>
      <x:c r="N154" s="362"/>
      <x:c r="O154" s="362"/>
      <x:c r="P154" s="362"/>
      <x:c r="Q154" s="362"/>
      <x:c r="R154" s="362"/>
      <x:c r="S154" s="362"/>
      <x:c r="T154" s="365"/>
      <x:c r="U154" s="366"/>
      <x:c r="V154" s="281"/>
      <x:c r="W154" s="281"/>
      <x:c r="X154" s="281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361"/>
      <x:c r="B155" s="362"/>
      <x:c r="C155" s="362"/>
      <x:c r="D155" s="362"/>
      <x:c r="E155" s="362"/>
      <x:c r="F155" s="362"/>
      <x:c r="G155" s="362"/>
      <x:c r="H155" s="362"/>
      <x:c r="I155" s="362"/>
      <x:c r="J155" s="362"/>
      <x:c r="K155" s="363"/>
      <x:c r="L155" s="364"/>
      <x:c r="M155" s="364"/>
      <x:c r="N155" s="362"/>
      <x:c r="O155" s="362"/>
      <x:c r="P155" s="362"/>
      <x:c r="Q155" s="362"/>
      <x:c r="R155" s="362"/>
      <x:c r="S155" s="362"/>
      <x:c r="T155" s="365"/>
      <x:c r="U155" s="366"/>
      <x:c r="V155" s="281"/>
      <x:c r="W155" s="281"/>
      <x:c r="X155" s="281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361"/>
      <x:c r="B156" s="362"/>
      <x:c r="C156" s="362"/>
      <x:c r="D156" s="362"/>
      <x:c r="E156" s="362"/>
      <x:c r="F156" s="362"/>
      <x:c r="G156" s="362"/>
      <x:c r="H156" s="362"/>
      <x:c r="I156" s="362"/>
      <x:c r="J156" s="362"/>
      <x:c r="K156" s="363"/>
      <x:c r="L156" s="364"/>
      <x:c r="M156" s="364"/>
      <x:c r="N156" s="362"/>
      <x:c r="O156" s="362"/>
      <x:c r="P156" s="362"/>
      <x:c r="Q156" s="362"/>
      <x:c r="R156" s="362"/>
      <x:c r="S156" s="362"/>
      <x:c r="T156" s="365"/>
      <x:c r="U156" s="366"/>
      <x:c r="V156" s="281"/>
      <x:c r="W156" s="281"/>
      <x:c r="X156" s="281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361"/>
      <x:c r="B157" s="362"/>
      <x:c r="C157" s="362"/>
      <x:c r="D157" s="362"/>
      <x:c r="E157" s="362"/>
      <x:c r="F157" s="362"/>
      <x:c r="G157" s="362"/>
      <x:c r="H157" s="362"/>
      <x:c r="I157" s="362"/>
      <x:c r="J157" s="362"/>
      <x:c r="K157" s="363"/>
      <x:c r="L157" s="364"/>
      <x:c r="M157" s="364"/>
      <x:c r="N157" s="362"/>
      <x:c r="O157" s="362"/>
      <x:c r="P157" s="362"/>
      <x:c r="Q157" s="362"/>
      <x:c r="R157" s="362"/>
      <x:c r="S157" s="362"/>
      <x:c r="T157" s="365"/>
      <x:c r="U157" s="366"/>
      <x:c r="V157" s="281"/>
      <x:c r="W157" s="281"/>
      <x:c r="X157" s="281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361"/>
      <x:c r="B158" s="362"/>
      <x:c r="C158" s="362"/>
      <x:c r="D158" s="362"/>
      <x:c r="E158" s="362"/>
      <x:c r="F158" s="362"/>
      <x:c r="G158" s="362"/>
      <x:c r="H158" s="362"/>
      <x:c r="I158" s="362"/>
      <x:c r="J158" s="362"/>
      <x:c r="K158" s="363"/>
      <x:c r="L158" s="364"/>
      <x:c r="M158" s="364"/>
      <x:c r="N158" s="362"/>
      <x:c r="O158" s="362"/>
      <x:c r="P158" s="362"/>
      <x:c r="Q158" s="362"/>
      <x:c r="R158" s="362"/>
      <x:c r="S158" s="362"/>
      <x:c r="T158" s="365"/>
      <x:c r="U158" s="366"/>
      <x:c r="V158" s="281"/>
      <x:c r="W158" s="281"/>
      <x:c r="X158" s="281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361"/>
      <x:c r="B159" s="362"/>
      <x:c r="C159" s="362"/>
      <x:c r="D159" s="362"/>
      <x:c r="E159" s="362"/>
      <x:c r="F159" s="362"/>
      <x:c r="G159" s="362"/>
      <x:c r="H159" s="362"/>
      <x:c r="I159" s="362"/>
      <x:c r="J159" s="362"/>
      <x:c r="K159" s="363"/>
      <x:c r="L159" s="364"/>
      <x:c r="M159" s="364"/>
      <x:c r="N159" s="362"/>
      <x:c r="O159" s="362"/>
      <x:c r="P159" s="362"/>
      <x:c r="Q159" s="362"/>
      <x:c r="R159" s="362"/>
      <x:c r="S159" s="362"/>
      <x:c r="T159" s="365"/>
      <x:c r="U159" s="366"/>
      <x:c r="V159" s="281"/>
      <x:c r="W159" s="281"/>
      <x:c r="X159" s="281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361"/>
      <x:c r="B160" s="362"/>
      <x:c r="C160" s="362"/>
      <x:c r="D160" s="362"/>
      <x:c r="E160" s="362"/>
      <x:c r="F160" s="362"/>
      <x:c r="G160" s="362"/>
      <x:c r="H160" s="362"/>
      <x:c r="I160" s="362"/>
      <x:c r="J160" s="362"/>
      <x:c r="K160" s="363"/>
      <x:c r="L160" s="364"/>
      <x:c r="M160" s="364"/>
      <x:c r="N160" s="362"/>
      <x:c r="O160" s="362"/>
      <x:c r="P160" s="362"/>
      <x:c r="Q160" s="362"/>
      <x:c r="R160" s="362"/>
      <x:c r="S160" s="362"/>
      <x:c r="T160" s="365"/>
      <x:c r="U160" s="366"/>
      <x:c r="V160" s="281"/>
      <x:c r="W160" s="281"/>
      <x:c r="X160" s="281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361"/>
      <x:c r="B161" s="362"/>
      <x:c r="C161" s="362"/>
      <x:c r="D161" s="362"/>
      <x:c r="E161" s="362"/>
      <x:c r="F161" s="362"/>
      <x:c r="G161" s="362"/>
      <x:c r="H161" s="362"/>
      <x:c r="I161" s="362"/>
      <x:c r="J161" s="362"/>
      <x:c r="K161" s="363"/>
      <x:c r="L161" s="364"/>
      <x:c r="M161" s="364"/>
      <x:c r="N161" s="362"/>
      <x:c r="O161" s="362"/>
      <x:c r="P161" s="362"/>
      <x:c r="Q161" s="362"/>
      <x:c r="R161" s="362"/>
      <x:c r="S161" s="362"/>
      <x:c r="T161" s="365"/>
      <x:c r="U161" s="366"/>
      <x:c r="V161" s="281"/>
      <x:c r="W161" s="281"/>
      <x:c r="X161" s="281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361"/>
      <x:c r="B162" s="362"/>
      <x:c r="C162" s="362"/>
      <x:c r="D162" s="362"/>
      <x:c r="E162" s="362"/>
      <x:c r="F162" s="362"/>
      <x:c r="G162" s="362"/>
      <x:c r="H162" s="362"/>
      <x:c r="I162" s="362"/>
      <x:c r="J162" s="362"/>
      <x:c r="K162" s="363"/>
      <x:c r="L162" s="364"/>
      <x:c r="M162" s="364"/>
      <x:c r="N162" s="362"/>
      <x:c r="O162" s="362"/>
      <x:c r="P162" s="362"/>
      <x:c r="Q162" s="362"/>
      <x:c r="R162" s="362"/>
      <x:c r="S162" s="362"/>
      <x:c r="T162" s="365"/>
      <x:c r="U162" s="366"/>
      <x:c r="V162" s="281"/>
      <x:c r="W162" s="281"/>
      <x:c r="X162" s="281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361"/>
      <x:c r="B163" s="362"/>
      <x:c r="C163" s="362"/>
      <x:c r="D163" s="362"/>
      <x:c r="E163" s="362"/>
      <x:c r="F163" s="362"/>
      <x:c r="G163" s="362"/>
      <x:c r="H163" s="362"/>
      <x:c r="I163" s="362"/>
      <x:c r="J163" s="362"/>
      <x:c r="K163" s="363"/>
      <x:c r="L163" s="364"/>
      <x:c r="M163" s="364"/>
      <x:c r="N163" s="362"/>
      <x:c r="O163" s="362"/>
      <x:c r="P163" s="362"/>
      <x:c r="Q163" s="362"/>
      <x:c r="R163" s="362"/>
      <x:c r="S163" s="362"/>
      <x:c r="T163" s="365"/>
      <x:c r="U163" s="366"/>
      <x:c r="V163" s="281"/>
      <x:c r="W163" s="281"/>
      <x:c r="X163" s="281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361"/>
      <x:c r="B164" s="362"/>
      <x:c r="C164" s="362"/>
      <x:c r="D164" s="362"/>
      <x:c r="E164" s="362"/>
      <x:c r="F164" s="362"/>
      <x:c r="G164" s="362"/>
      <x:c r="H164" s="362"/>
      <x:c r="I164" s="362"/>
      <x:c r="J164" s="362"/>
      <x:c r="K164" s="363"/>
      <x:c r="L164" s="364"/>
      <x:c r="M164" s="364"/>
      <x:c r="N164" s="362"/>
      <x:c r="O164" s="362"/>
      <x:c r="P164" s="362"/>
      <x:c r="Q164" s="362"/>
      <x:c r="R164" s="362"/>
      <x:c r="S164" s="362"/>
      <x:c r="T164" s="365"/>
      <x:c r="U164" s="366"/>
      <x:c r="V164" s="281"/>
      <x:c r="W164" s="281"/>
      <x:c r="X164" s="281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361"/>
      <x:c r="B165" s="362"/>
      <x:c r="C165" s="362"/>
      <x:c r="D165" s="362"/>
      <x:c r="E165" s="362"/>
      <x:c r="F165" s="362"/>
      <x:c r="G165" s="362"/>
      <x:c r="H165" s="362"/>
      <x:c r="I165" s="362"/>
      <x:c r="J165" s="362"/>
      <x:c r="K165" s="363"/>
      <x:c r="L165" s="364"/>
      <x:c r="M165" s="364"/>
      <x:c r="N165" s="362"/>
      <x:c r="O165" s="362"/>
      <x:c r="P165" s="362"/>
      <x:c r="Q165" s="362"/>
      <x:c r="R165" s="362"/>
      <x:c r="S165" s="362"/>
      <x:c r="T165" s="365"/>
      <x:c r="U165" s="366"/>
      <x:c r="V165" s="281"/>
      <x:c r="W165" s="281"/>
      <x:c r="X165" s="281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361"/>
      <x:c r="B166" s="362"/>
      <x:c r="C166" s="362"/>
      <x:c r="D166" s="362"/>
      <x:c r="E166" s="362"/>
      <x:c r="F166" s="362"/>
      <x:c r="G166" s="362"/>
      <x:c r="H166" s="362"/>
      <x:c r="I166" s="362"/>
      <x:c r="J166" s="362"/>
      <x:c r="K166" s="363"/>
      <x:c r="L166" s="364"/>
      <x:c r="M166" s="364"/>
      <x:c r="N166" s="362"/>
      <x:c r="O166" s="362"/>
      <x:c r="P166" s="362"/>
      <x:c r="Q166" s="362"/>
      <x:c r="R166" s="362"/>
      <x:c r="S166" s="362"/>
      <x:c r="T166" s="365"/>
      <x:c r="U166" s="366"/>
      <x:c r="V166" s="281"/>
      <x:c r="W166" s="281"/>
      <x:c r="X166" s="281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361"/>
      <x:c r="B167" s="362"/>
      <x:c r="C167" s="362"/>
      <x:c r="D167" s="362"/>
      <x:c r="E167" s="362"/>
      <x:c r="F167" s="362"/>
      <x:c r="G167" s="362"/>
      <x:c r="H167" s="362"/>
      <x:c r="I167" s="362"/>
      <x:c r="J167" s="362"/>
      <x:c r="K167" s="363"/>
      <x:c r="L167" s="364"/>
      <x:c r="M167" s="364"/>
      <x:c r="N167" s="362"/>
      <x:c r="O167" s="362"/>
      <x:c r="P167" s="362"/>
      <x:c r="Q167" s="362"/>
      <x:c r="R167" s="362"/>
      <x:c r="S167" s="362"/>
      <x:c r="T167" s="365"/>
      <x:c r="U167" s="366"/>
      <x:c r="V167" s="281"/>
      <x:c r="W167" s="281"/>
      <x:c r="X167" s="281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361"/>
      <x:c r="B168" s="362"/>
      <x:c r="C168" s="362"/>
      <x:c r="D168" s="362"/>
      <x:c r="E168" s="362"/>
      <x:c r="F168" s="362"/>
      <x:c r="G168" s="362"/>
      <x:c r="H168" s="362"/>
      <x:c r="I168" s="362"/>
      <x:c r="J168" s="362"/>
      <x:c r="K168" s="363"/>
      <x:c r="L168" s="364"/>
      <x:c r="M168" s="364"/>
      <x:c r="N168" s="362"/>
      <x:c r="O168" s="362"/>
      <x:c r="P168" s="362"/>
      <x:c r="Q168" s="362"/>
      <x:c r="R168" s="362"/>
      <x:c r="S168" s="362"/>
      <x:c r="T168" s="365"/>
      <x:c r="U168" s="366"/>
      <x:c r="V168" s="281"/>
      <x:c r="W168" s="281"/>
      <x:c r="X168" s="281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361"/>
      <x:c r="B169" s="362"/>
      <x:c r="C169" s="362"/>
      <x:c r="D169" s="362"/>
      <x:c r="E169" s="362"/>
      <x:c r="F169" s="362"/>
      <x:c r="G169" s="362"/>
      <x:c r="H169" s="362"/>
      <x:c r="I169" s="362"/>
      <x:c r="J169" s="362"/>
      <x:c r="K169" s="363"/>
      <x:c r="L169" s="364"/>
      <x:c r="M169" s="364"/>
      <x:c r="N169" s="362"/>
      <x:c r="O169" s="362"/>
      <x:c r="P169" s="362"/>
      <x:c r="Q169" s="362"/>
      <x:c r="R169" s="362"/>
      <x:c r="S169" s="362"/>
      <x:c r="T169" s="365"/>
      <x:c r="U169" s="366"/>
      <x:c r="V169" s="281"/>
      <x:c r="W169" s="281"/>
      <x:c r="X169" s="281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361"/>
      <x:c r="B170" s="362"/>
      <x:c r="C170" s="362"/>
      <x:c r="D170" s="362"/>
      <x:c r="E170" s="362"/>
      <x:c r="F170" s="362"/>
      <x:c r="G170" s="362"/>
      <x:c r="H170" s="362"/>
      <x:c r="I170" s="362"/>
      <x:c r="J170" s="362"/>
      <x:c r="K170" s="363"/>
      <x:c r="L170" s="364"/>
      <x:c r="M170" s="364"/>
      <x:c r="N170" s="362"/>
      <x:c r="O170" s="362"/>
      <x:c r="P170" s="362"/>
      <x:c r="Q170" s="362"/>
      <x:c r="R170" s="362"/>
      <x:c r="S170" s="362"/>
      <x:c r="T170" s="365"/>
      <x:c r="U170" s="366"/>
      <x:c r="V170" s="281"/>
      <x:c r="W170" s="281"/>
      <x:c r="X170" s="281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361"/>
      <x:c r="B171" s="362"/>
      <x:c r="C171" s="362"/>
      <x:c r="D171" s="362"/>
      <x:c r="E171" s="362"/>
      <x:c r="F171" s="362"/>
      <x:c r="G171" s="362"/>
      <x:c r="H171" s="362"/>
      <x:c r="I171" s="362"/>
      <x:c r="J171" s="362"/>
      <x:c r="K171" s="363"/>
      <x:c r="L171" s="364"/>
      <x:c r="M171" s="364"/>
      <x:c r="N171" s="362"/>
      <x:c r="O171" s="362"/>
      <x:c r="P171" s="362"/>
      <x:c r="Q171" s="362"/>
      <x:c r="R171" s="362"/>
      <x:c r="S171" s="362"/>
      <x:c r="T171" s="365"/>
      <x:c r="U171" s="366"/>
      <x:c r="V171" s="281"/>
      <x:c r="W171" s="281"/>
      <x:c r="X171" s="281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361"/>
      <x:c r="B172" s="362"/>
      <x:c r="C172" s="362"/>
      <x:c r="D172" s="362"/>
      <x:c r="E172" s="362"/>
      <x:c r="F172" s="362"/>
      <x:c r="G172" s="362"/>
      <x:c r="H172" s="362"/>
      <x:c r="I172" s="362"/>
      <x:c r="J172" s="362"/>
      <x:c r="K172" s="363"/>
      <x:c r="L172" s="364"/>
      <x:c r="M172" s="364"/>
      <x:c r="N172" s="362"/>
      <x:c r="O172" s="362"/>
      <x:c r="P172" s="362"/>
      <x:c r="Q172" s="362"/>
      <x:c r="R172" s="362"/>
      <x:c r="S172" s="362"/>
      <x:c r="T172" s="365"/>
      <x:c r="U172" s="366"/>
      <x:c r="V172" s="281"/>
      <x:c r="W172" s="281"/>
      <x:c r="X172" s="281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361"/>
      <x:c r="B173" s="362"/>
      <x:c r="C173" s="362"/>
      <x:c r="D173" s="362"/>
      <x:c r="E173" s="362"/>
      <x:c r="F173" s="362"/>
      <x:c r="G173" s="362"/>
      <x:c r="H173" s="362"/>
      <x:c r="I173" s="362"/>
      <x:c r="J173" s="362"/>
      <x:c r="K173" s="363"/>
      <x:c r="L173" s="364"/>
      <x:c r="M173" s="364"/>
      <x:c r="N173" s="362"/>
      <x:c r="O173" s="362"/>
      <x:c r="P173" s="362"/>
      <x:c r="Q173" s="362"/>
      <x:c r="R173" s="362"/>
      <x:c r="S173" s="362"/>
      <x:c r="T173" s="365"/>
      <x:c r="U173" s="366"/>
      <x:c r="V173" s="281"/>
      <x:c r="W173" s="281"/>
      <x:c r="X173" s="281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361"/>
      <x:c r="B174" s="362"/>
      <x:c r="C174" s="362"/>
      <x:c r="D174" s="362"/>
      <x:c r="E174" s="362"/>
      <x:c r="F174" s="362"/>
      <x:c r="G174" s="362"/>
      <x:c r="H174" s="362"/>
      <x:c r="I174" s="362"/>
      <x:c r="J174" s="362"/>
      <x:c r="K174" s="363"/>
      <x:c r="L174" s="364"/>
      <x:c r="M174" s="364"/>
      <x:c r="N174" s="362"/>
      <x:c r="O174" s="362"/>
      <x:c r="P174" s="362"/>
      <x:c r="Q174" s="362"/>
      <x:c r="R174" s="362"/>
      <x:c r="S174" s="362"/>
      <x:c r="T174" s="365"/>
      <x:c r="U174" s="366"/>
      <x:c r="V174" s="281"/>
      <x:c r="W174" s="281"/>
      <x:c r="X174" s="281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361"/>
      <x:c r="B175" s="362"/>
      <x:c r="C175" s="362"/>
      <x:c r="D175" s="362"/>
      <x:c r="E175" s="362"/>
      <x:c r="F175" s="362"/>
      <x:c r="G175" s="362"/>
      <x:c r="H175" s="362"/>
      <x:c r="I175" s="362"/>
      <x:c r="J175" s="362"/>
      <x:c r="K175" s="363"/>
      <x:c r="L175" s="364"/>
      <x:c r="M175" s="364"/>
      <x:c r="N175" s="362"/>
      <x:c r="O175" s="362"/>
      <x:c r="P175" s="362"/>
      <x:c r="Q175" s="362"/>
      <x:c r="R175" s="362"/>
      <x:c r="S175" s="362"/>
      <x:c r="T175" s="365"/>
      <x:c r="U175" s="366"/>
      <x:c r="V175" s="281"/>
      <x:c r="W175" s="281"/>
      <x:c r="X175" s="281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361"/>
      <x:c r="B176" s="362"/>
      <x:c r="C176" s="362"/>
      <x:c r="D176" s="362"/>
      <x:c r="E176" s="362"/>
      <x:c r="F176" s="362"/>
      <x:c r="G176" s="362"/>
      <x:c r="H176" s="362"/>
      <x:c r="I176" s="362"/>
      <x:c r="J176" s="362"/>
      <x:c r="K176" s="363"/>
      <x:c r="L176" s="364"/>
      <x:c r="M176" s="364"/>
      <x:c r="N176" s="362"/>
      <x:c r="O176" s="362"/>
      <x:c r="P176" s="362"/>
      <x:c r="Q176" s="362"/>
      <x:c r="R176" s="362"/>
      <x:c r="S176" s="362"/>
      <x:c r="T176" s="365"/>
      <x:c r="U176" s="366"/>
      <x:c r="V176" s="281"/>
      <x:c r="W176" s="281"/>
      <x:c r="X176" s="281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361"/>
      <x:c r="B177" s="362"/>
      <x:c r="C177" s="362"/>
      <x:c r="D177" s="362"/>
      <x:c r="E177" s="362"/>
      <x:c r="F177" s="362"/>
      <x:c r="G177" s="362"/>
      <x:c r="H177" s="362"/>
      <x:c r="I177" s="362"/>
      <x:c r="J177" s="362"/>
      <x:c r="K177" s="363"/>
      <x:c r="L177" s="364"/>
      <x:c r="M177" s="364"/>
      <x:c r="N177" s="362"/>
      <x:c r="O177" s="362"/>
      <x:c r="P177" s="362"/>
      <x:c r="Q177" s="362"/>
      <x:c r="R177" s="362"/>
      <x:c r="S177" s="362"/>
      <x:c r="T177" s="365"/>
      <x:c r="U177" s="366"/>
      <x:c r="V177" s="281"/>
      <x:c r="W177" s="281"/>
      <x:c r="X177" s="281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361"/>
      <x:c r="B178" s="362"/>
      <x:c r="C178" s="362"/>
      <x:c r="D178" s="362"/>
      <x:c r="E178" s="362"/>
      <x:c r="F178" s="362"/>
      <x:c r="G178" s="362"/>
      <x:c r="H178" s="362"/>
      <x:c r="I178" s="362"/>
      <x:c r="J178" s="362"/>
      <x:c r="K178" s="363"/>
      <x:c r="L178" s="364"/>
      <x:c r="M178" s="364"/>
      <x:c r="N178" s="362"/>
      <x:c r="O178" s="362"/>
      <x:c r="P178" s="362"/>
      <x:c r="Q178" s="362"/>
      <x:c r="R178" s="362"/>
      <x:c r="S178" s="362"/>
      <x:c r="T178" s="365"/>
      <x:c r="U178" s="366"/>
      <x:c r="V178" s="281"/>
      <x:c r="W178" s="281"/>
      <x:c r="X178" s="281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361"/>
      <x:c r="B179" s="362"/>
      <x:c r="C179" s="362"/>
      <x:c r="D179" s="362"/>
      <x:c r="E179" s="362"/>
      <x:c r="F179" s="362"/>
      <x:c r="G179" s="362"/>
      <x:c r="H179" s="362"/>
      <x:c r="I179" s="362"/>
      <x:c r="J179" s="362"/>
      <x:c r="K179" s="363"/>
      <x:c r="L179" s="364"/>
      <x:c r="M179" s="364"/>
      <x:c r="N179" s="362"/>
      <x:c r="O179" s="362"/>
      <x:c r="P179" s="362"/>
      <x:c r="Q179" s="362"/>
      <x:c r="R179" s="362"/>
      <x:c r="S179" s="362"/>
      <x:c r="T179" s="365"/>
      <x:c r="U179" s="366"/>
      <x:c r="V179" s="281"/>
      <x:c r="W179" s="281"/>
      <x:c r="X179" s="281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361"/>
      <x:c r="B180" s="362"/>
      <x:c r="C180" s="362"/>
      <x:c r="D180" s="362"/>
      <x:c r="E180" s="362"/>
      <x:c r="F180" s="362"/>
      <x:c r="G180" s="362"/>
      <x:c r="H180" s="362"/>
      <x:c r="I180" s="362"/>
      <x:c r="J180" s="362"/>
      <x:c r="K180" s="363"/>
      <x:c r="L180" s="364"/>
      <x:c r="M180" s="364"/>
      <x:c r="N180" s="362"/>
      <x:c r="O180" s="362"/>
      <x:c r="P180" s="362"/>
      <x:c r="Q180" s="362"/>
      <x:c r="R180" s="362"/>
      <x:c r="S180" s="362"/>
      <x:c r="T180" s="365"/>
      <x:c r="U180" s="366"/>
      <x:c r="V180" s="281"/>
      <x:c r="W180" s="281"/>
      <x:c r="X180" s="281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361"/>
      <x:c r="B181" s="362"/>
      <x:c r="C181" s="362"/>
      <x:c r="D181" s="362"/>
      <x:c r="E181" s="362"/>
      <x:c r="F181" s="362"/>
      <x:c r="G181" s="362"/>
      <x:c r="H181" s="362"/>
      <x:c r="I181" s="362"/>
      <x:c r="J181" s="362"/>
      <x:c r="K181" s="363"/>
      <x:c r="L181" s="364"/>
      <x:c r="M181" s="364"/>
      <x:c r="N181" s="362"/>
      <x:c r="O181" s="362"/>
      <x:c r="P181" s="362"/>
      <x:c r="Q181" s="362"/>
      <x:c r="R181" s="362"/>
      <x:c r="S181" s="362"/>
      <x:c r="T181" s="365"/>
      <x:c r="U181" s="366"/>
      <x:c r="V181" s="281"/>
      <x:c r="W181" s="281"/>
      <x:c r="X181" s="281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361"/>
      <x:c r="B182" s="362"/>
      <x:c r="C182" s="362"/>
      <x:c r="D182" s="362"/>
      <x:c r="E182" s="362"/>
      <x:c r="F182" s="362"/>
      <x:c r="G182" s="362"/>
      <x:c r="H182" s="362"/>
      <x:c r="I182" s="362"/>
      <x:c r="J182" s="362"/>
      <x:c r="K182" s="363"/>
      <x:c r="L182" s="364"/>
      <x:c r="M182" s="364"/>
      <x:c r="N182" s="362"/>
      <x:c r="O182" s="362"/>
      <x:c r="P182" s="362"/>
      <x:c r="Q182" s="362"/>
      <x:c r="R182" s="362"/>
      <x:c r="S182" s="362"/>
      <x:c r="T182" s="365"/>
      <x:c r="U182" s="366"/>
      <x:c r="V182" s="281"/>
      <x:c r="W182" s="281"/>
      <x:c r="X182" s="281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361"/>
      <x:c r="B183" s="362"/>
      <x:c r="C183" s="362"/>
      <x:c r="D183" s="362"/>
      <x:c r="E183" s="362"/>
      <x:c r="F183" s="362"/>
      <x:c r="G183" s="362"/>
      <x:c r="H183" s="362"/>
      <x:c r="I183" s="362"/>
      <x:c r="J183" s="362"/>
      <x:c r="K183" s="363"/>
      <x:c r="L183" s="364"/>
      <x:c r="M183" s="364"/>
      <x:c r="N183" s="362"/>
      <x:c r="O183" s="362"/>
      <x:c r="P183" s="362"/>
      <x:c r="Q183" s="362"/>
      <x:c r="R183" s="362"/>
      <x:c r="S183" s="362"/>
      <x:c r="T183" s="365"/>
      <x:c r="U183" s="366"/>
      <x:c r="V183" s="281"/>
      <x:c r="W183" s="281"/>
      <x:c r="X183" s="281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361"/>
      <x:c r="B184" s="362"/>
      <x:c r="C184" s="362"/>
      <x:c r="D184" s="362"/>
      <x:c r="E184" s="362"/>
      <x:c r="F184" s="362"/>
      <x:c r="G184" s="362"/>
      <x:c r="H184" s="362"/>
      <x:c r="I184" s="362"/>
      <x:c r="J184" s="362"/>
      <x:c r="K184" s="363"/>
      <x:c r="L184" s="364"/>
      <x:c r="M184" s="364"/>
      <x:c r="N184" s="362"/>
      <x:c r="O184" s="362"/>
      <x:c r="P184" s="362"/>
      <x:c r="Q184" s="362"/>
      <x:c r="R184" s="362"/>
      <x:c r="S184" s="362"/>
      <x:c r="T184" s="365"/>
      <x:c r="U184" s="366"/>
      <x:c r="V184" s="281"/>
      <x:c r="W184" s="281"/>
      <x:c r="X184" s="281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361"/>
      <x:c r="B185" s="362"/>
      <x:c r="C185" s="362"/>
      <x:c r="D185" s="362"/>
      <x:c r="E185" s="362"/>
      <x:c r="F185" s="362"/>
      <x:c r="G185" s="362"/>
      <x:c r="H185" s="362"/>
      <x:c r="I185" s="362"/>
      <x:c r="J185" s="362"/>
      <x:c r="K185" s="363"/>
      <x:c r="L185" s="364"/>
      <x:c r="M185" s="364"/>
      <x:c r="N185" s="362"/>
      <x:c r="O185" s="362"/>
      <x:c r="P185" s="362"/>
      <x:c r="Q185" s="362"/>
      <x:c r="R185" s="362"/>
      <x:c r="S185" s="362"/>
      <x:c r="T185" s="365"/>
      <x:c r="U185" s="366"/>
      <x:c r="V185" s="281"/>
      <x:c r="W185" s="281"/>
      <x:c r="X185" s="281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361"/>
      <x:c r="B186" s="362"/>
      <x:c r="C186" s="362"/>
      <x:c r="D186" s="362"/>
      <x:c r="E186" s="362"/>
      <x:c r="F186" s="362"/>
      <x:c r="G186" s="362"/>
      <x:c r="H186" s="362"/>
      <x:c r="I186" s="362"/>
      <x:c r="J186" s="362"/>
      <x:c r="K186" s="363"/>
      <x:c r="L186" s="364"/>
      <x:c r="M186" s="364"/>
      <x:c r="N186" s="362"/>
      <x:c r="O186" s="362"/>
      <x:c r="P186" s="362"/>
      <x:c r="Q186" s="362"/>
      <x:c r="R186" s="362"/>
      <x:c r="S186" s="362"/>
      <x:c r="T186" s="365"/>
      <x:c r="U186" s="366"/>
      <x:c r="V186" s="281"/>
      <x:c r="W186" s="281"/>
      <x:c r="X186" s="281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361"/>
      <x:c r="B187" s="362"/>
      <x:c r="C187" s="362"/>
      <x:c r="D187" s="362"/>
      <x:c r="E187" s="362"/>
      <x:c r="F187" s="362"/>
      <x:c r="G187" s="362"/>
      <x:c r="H187" s="362"/>
      <x:c r="I187" s="362"/>
      <x:c r="J187" s="362"/>
      <x:c r="K187" s="363"/>
      <x:c r="L187" s="364"/>
      <x:c r="M187" s="364"/>
      <x:c r="N187" s="362"/>
      <x:c r="O187" s="362"/>
      <x:c r="P187" s="362"/>
      <x:c r="Q187" s="362"/>
      <x:c r="R187" s="362"/>
      <x:c r="S187" s="362"/>
      <x:c r="T187" s="365"/>
      <x:c r="U187" s="366"/>
      <x:c r="V187" s="281"/>
      <x:c r="W187" s="281"/>
      <x:c r="X187" s="281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361"/>
      <x:c r="B188" s="362"/>
      <x:c r="C188" s="362"/>
      <x:c r="D188" s="362"/>
      <x:c r="E188" s="362"/>
      <x:c r="F188" s="362"/>
      <x:c r="G188" s="362"/>
      <x:c r="H188" s="362"/>
      <x:c r="I188" s="362"/>
      <x:c r="J188" s="362"/>
      <x:c r="K188" s="363"/>
      <x:c r="L188" s="364"/>
      <x:c r="M188" s="364"/>
      <x:c r="N188" s="362"/>
      <x:c r="O188" s="362"/>
      <x:c r="P188" s="362"/>
      <x:c r="Q188" s="362"/>
      <x:c r="R188" s="362"/>
      <x:c r="S188" s="362"/>
      <x:c r="T188" s="365"/>
      <x:c r="U188" s="366"/>
      <x:c r="V188" s="281"/>
      <x:c r="W188" s="281"/>
      <x:c r="X188" s="281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361"/>
      <x:c r="B189" s="362"/>
      <x:c r="C189" s="362"/>
      <x:c r="D189" s="362"/>
      <x:c r="E189" s="362"/>
      <x:c r="F189" s="362"/>
      <x:c r="G189" s="362"/>
      <x:c r="H189" s="362"/>
      <x:c r="I189" s="362"/>
      <x:c r="J189" s="362"/>
      <x:c r="K189" s="363"/>
      <x:c r="L189" s="364"/>
      <x:c r="M189" s="364"/>
      <x:c r="N189" s="362"/>
      <x:c r="O189" s="362"/>
      <x:c r="P189" s="362"/>
      <x:c r="Q189" s="362"/>
      <x:c r="R189" s="362"/>
      <x:c r="S189" s="362"/>
      <x:c r="T189" s="365"/>
      <x:c r="U189" s="366"/>
      <x:c r="V189" s="281"/>
      <x:c r="W189" s="281"/>
      <x:c r="X189" s="281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361"/>
      <x:c r="B190" s="362"/>
      <x:c r="C190" s="362"/>
      <x:c r="D190" s="362"/>
      <x:c r="E190" s="362"/>
      <x:c r="F190" s="362"/>
      <x:c r="G190" s="362"/>
      <x:c r="H190" s="362"/>
      <x:c r="I190" s="362"/>
      <x:c r="J190" s="362"/>
      <x:c r="K190" s="363"/>
      <x:c r="L190" s="364"/>
      <x:c r="M190" s="364"/>
      <x:c r="N190" s="362"/>
      <x:c r="O190" s="362"/>
      <x:c r="P190" s="362"/>
      <x:c r="Q190" s="362"/>
      <x:c r="R190" s="362"/>
      <x:c r="S190" s="362"/>
      <x:c r="T190" s="365"/>
      <x:c r="U190" s="366"/>
      <x:c r="V190" s="281"/>
      <x:c r="W190" s="281"/>
      <x:c r="X190" s="281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361"/>
      <x:c r="B191" s="362"/>
      <x:c r="C191" s="362"/>
      <x:c r="D191" s="362"/>
      <x:c r="E191" s="362"/>
      <x:c r="F191" s="362"/>
      <x:c r="G191" s="362"/>
      <x:c r="H191" s="362"/>
      <x:c r="I191" s="362"/>
      <x:c r="J191" s="362"/>
      <x:c r="K191" s="363"/>
      <x:c r="L191" s="364"/>
      <x:c r="M191" s="364"/>
      <x:c r="N191" s="362"/>
      <x:c r="O191" s="362"/>
      <x:c r="P191" s="362"/>
      <x:c r="Q191" s="362"/>
      <x:c r="R191" s="362"/>
      <x:c r="S191" s="362"/>
      <x:c r="T191" s="365"/>
      <x:c r="U191" s="366"/>
      <x:c r="V191" s="281"/>
      <x:c r="W191" s="281"/>
      <x:c r="X191" s="281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361"/>
      <x:c r="B192" s="362"/>
      <x:c r="C192" s="362"/>
      <x:c r="D192" s="362"/>
      <x:c r="E192" s="362"/>
      <x:c r="F192" s="362"/>
      <x:c r="G192" s="362"/>
      <x:c r="H192" s="362"/>
      <x:c r="I192" s="362"/>
      <x:c r="J192" s="362"/>
      <x:c r="K192" s="363"/>
      <x:c r="L192" s="364"/>
      <x:c r="M192" s="364"/>
      <x:c r="N192" s="362"/>
      <x:c r="O192" s="362"/>
      <x:c r="P192" s="362"/>
      <x:c r="Q192" s="362"/>
      <x:c r="R192" s="362"/>
      <x:c r="S192" s="362"/>
      <x:c r="T192" s="365"/>
      <x:c r="U192" s="366"/>
      <x:c r="V192" s="281"/>
      <x:c r="W192" s="281"/>
      <x:c r="X192" s="281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361"/>
      <x:c r="B193" s="362"/>
      <x:c r="C193" s="362"/>
      <x:c r="D193" s="362"/>
      <x:c r="E193" s="362"/>
      <x:c r="F193" s="362"/>
      <x:c r="G193" s="362"/>
      <x:c r="H193" s="362"/>
      <x:c r="I193" s="362"/>
      <x:c r="J193" s="362"/>
      <x:c r="K193" s="363"/>
      <x:c r="L193" s="364"/>
      <x:c r="M193" s="364"/>
      <x:c r="N193" s="362"/>
      <x:c r="O193" s="362"/>
      <x:c r="P193" s="362"/>
      <x:c r="Q193" s="362"/>
      <x:c r="R193" s="362"/>
      <x:c r="S193" s="362"/>
      <x:c r="T193" s="365"/>
      <x:c r="U193" s="366"/>
      <x:c r="V193" s="281"/>
      <x:c r="W193" s="281"/>
      <x:c r="X193" s="281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361"/>
      <x:c r="B194" s="362"/>
      <x:c r="C194" s="362"/>
      <x:c r="D194" s="362"/>
      <x:c r="E194" s="362"/>
      <x:c r="F194" s="362"/>
      <x:c r="G194" s="362"/>
      <x:c r="H194" s="362"/>
      <x:c r="I194" s="362"/>
      <x:c r="J194" s="362"/>
      <x:c r="K194" s="363"/>
      <x:c r="L194" s="364"/>
      <x:c r="M194" s="364"/>
      <x:c r="N194" s="362"/>
      <x:c r="O194" s="362"/>
      <x:c r="P194" s="362"/>
      <x:c r="Q194" s="362"/>
      <x:c r="R194" s="362"/>
      <x:c r="S194" s="362"/>
      <x:c r="T194" s="365"/>
      <x:c r="U194" s="366"/>
      <x:c r="V194" s="281"/>
      <x:c r="W194" s="281"/>
      <x:c r="X194" s="281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361"/>
      <x:c r="B195" s="362"/>
      <x:c r="C195" s="362"/>
      <x:c r="D195" s="362"/>
      <x:c r="E195" s="362"/>
      <x:c r="F195" s="362"/>
      <x:c r="G195" s="362"/>
      <x:c r="H195" s="362"/>
      <x:c r="I195" s="362"/>
      <x:c r="J195" s="362"/>
      <x:c r="K195" s="363"/>
      <x:c r="L195" s="364"/>
      <x:c r="M195" s="364"/>
      <x:c r="N195" s="362"/>
      <x:c r="O195" s="362"/>
      <x:c r="P195" s="362"/>
      <x:c r="Q195" s="362"/>
      <x:c r="R195" s="362"/>
      <x:c r="S195" s="362"/>
      <x:c r="T195" s="365"/>
      <x:c r="U195" s="366"/>
      <x:c r="V195" s="281"/>
      <x:c r="W195" s="281"/>
      <x:c r="X195" s="281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361"/>
      <x:c r="B196" s="362"/>
      <x:c r="C196" s="362"/>
      <x:c r="D196" s="362"/>
      <x:c r="E196" s="362"/>
      <x:c r="F196" s="362"/>
      <x:c r="G196" s="362"/>
      <x:c r="H196" s="362"/>
      <x:c r="I196" s="362"/>
      <x:c r="J196" s="362"/>
      <x:c r="K196" s="363"/>
      <x:c r="L196" s="364"/>
      <x:c r="M196" s="364"/>
      <x:c r="N196" s="362"/>
      <x:c r="O196" s="362"/>
      <x:c r="P196" s="362"/>
      <x:c r="Q196" s="362"/>
      <x:c r="R196" s="362"/>
      <x:c r="S196" s="362"/>
      <x:c r="T196" s="365"/>
      <x:c r="U196" s="366"/>
      <x:c r="V196" s="281"/>
      <x:c r="W196" s="281"/>
      <x:c r="X196" s="281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361"/>
      <x:c r="B197" s="362"/>
      <x:c r="C197" s="362"/>
      <x:c r="D197" s="362"/>
      <x:c r="E197" s="362"/>
      <x:c r="F197" s="362"/>
      <x:c r="G197" s="362"/>
      <x:c r="H197" s="362"/>
      <x:c r="I197" s="362"/>
      <x:c r="J197" s="362"/>
      <x:c r="K197" s="363"/>
      <x:c r="L197" s="364"/>
      <x:c r="M197" s="364"/>
      <x:c r="N197" s="362"/>
      <x:c r="O197" s="362"/>
      <x:c r="P197" s="362"/>
      <x:c r="Q197" s="362"/>
      <x:c r="R197" s="362"/>
      <x:c r="S197" s="362"/>
      <x:c r="T197" s="365"/>
      <x:c r="U197" s="366"/>
      <x:c r="V197" s="281"/>
      <x:c r="W197" s="281"/>
      <x:c r="X197" s="281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361"/>
      <x:c r="B198" s="362"/>
      <x:c r="C198" s="362"/>
      <x:c r="D198" s="362"/>
      <x:c r="E198" s="362"/>
      <x:c r="F198" s="362"/>
      <x:c r="G198" s="362"/>
      <x:c r="H198" s="362"/>
      <x:c r="I198" s="362"/>
      <x:c r="J198" s="362"/>
      <x:c r="K198" s="363"/>
      <x:c r="L198" s="364"/>
      <x:c r="M198" s="364"/>
      <x:c r="N198" s="362"/>
      <x:c r="O198" s="362"/>
      <x:c r="P198" s="362"/>
      <x:c r="Q198" s="362"/>
      <x:c r="R198" s="362"/>
      <x:c r="S198" s="362"/>
      <x:c r="T198" s="365"/>
      <x:c r="U198" s="366"/>
      <x:c r="V198" s="281"/>
      <x:c r="W198" s="281"/>
      <x:c r="X198" s="281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361"/>
      <x:c r="B199" s="362"/>
      <x:c r="C199" s="362"/>
      <x:c r="D199" s="362"/>
      <x:c r="E199" s="362"/>
      <x:c r="F199" s="362"/>
      <x:c r="G199" s="362"/>
      <x:c r="H199" s="362"/>
      <x:c r="I199" s="362"/>
      <x:c r="J199" s="362"/>
      <x:c r="K199" s="363"/>
      <x:c r="L199" s="364"/>
      <x:c r="M199" s="364"/>
      <x:c r="N199" s="362"/>
      <x:c r="O199" s="362"/>
      <x:c r="P199" s="362"/>
      <x:c r="Q199" s="362"/>
      <x:c r="R199" s="362"/>
      <x:c r="S199" s="362"/>
      <x:c r="T199" s="365"/>
      <x:c r="U199" s="366"/>
      <x:c r="V199" s="281"/>
      <x:c r="W199" s="281"/>
      <x:c r="X199" s="281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367"/>
      <x:c r="B200" s="368"/>
      <x:c r="C200" s="368"/>
      <x:c r="D200" s="368"/>
      <x:c r="E200" s="368"/>
      <x:c r="F200" s="368"/>
      <x:c r="G200" s="368"/>
      <x:c r="H200" s="368"/>
      <x:c r="I200" s="368"/>
      <x:c r="J200" s="368"/>
      <x:c r="K200" s="369"/>
      <x:c r="L200" s="370"/>
      <x:c r="M200" s="370"/>
      <x:c r="N200" s="368"/>
      <x:c r="O200" s="368"/>
      <x:c r="P200" s="368"/>
      <x:c r="Q200" s="368"/>
      <x:c r="R200" s="368"/>
      <x:c r="S200" s="368"/>
      <x:c r="T200" s="371"/>
      <x:c r="U200" s="372"/>
      <x:c r="V200" s="281"/>
      <x:c r="W200" s="281"/>
      <x:c r="X200" s="281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U1"/>
    <x:mergeCell ref="A2:U2"/>
  </x:mergeCells>
  <x:conditionalFormatting sqref="N5:N200">
    <x:cfRule type="expression" dxfId="0" priority="1">
      <x:formula>N5="Available"</x:formula>
    </x:cfRule>
    <x:cfRule type="expression" dxfId="1" priority="2">
      <x:formula>N5="Needs Photo"</x:formula>
    </x:cfRule>
    <x:cfRule type="expression" dxfId="2" priority="3">
      <x:formula>N5="Used"</x:formula>
    </x:cfRule>
  </x:conditionalFormatting>
  <x:dataValidations count="2">
    <x:dataValidation type="list" sqref="C5:C200">
      <x:formula1>'Status Lists'!$C$2:$C$7</x:formula1>
    </x:dataValidation>
    <x:dataValidation type="list" sqref="N5:N200">
      <x:formula1>'Status Lists'!$A$2:$A$8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fac1a34cd946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2" hidden="0" customWidth="1"/>
    <x:col min="8" max="8" width="22" hidden="0" customWidth="1"/>
    <x:col min="9" max="9" width="14" hidden="0" customWidth="1"/>
    <x:col min="10" max="10" width="12" hidden="0" customWidth="1"/>
    <x:col min="11" max="11" width="22" hidden="0" customWidth="1"/>
    <x:col min="12" max="12" width="14" hidden="0" customWidth="1"/>
    <x:col min="13" max="13" width="12" hidden="0" customWidth="1"/>
    <x:col min="14" max="14" width="22" hidden="0" customWidth="1"/>
    <x:col min="15" max="15" width="14" hidden="0" customWidth="1"/>
    <x:col min="16" max="16" width="12" hidden="0" customWidth="1"/>
    <x:col min="17" max="17" width="22" hidden="0" customWidth="1"/>
    <x:col min="18" max="18" width="14" hidden="0" customWidth="1"/>
    <x:col min="19" max="19" width="12" hidden="0" customWidth="1"/>
    <x:col min="20" max="20" width="22" hidden="0" customWidth="1"/>
    <x:col min="21" max="21" width="14" hidden="0" customWidth="1"/>
    <x:col min="22" max="22" width="16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8" hidden="0" customWidth="1"/>
    <x:col min="28" max="28" width="12" hidden="0" customWidth="1"/>
    <x:col min="29" max="29" width="12" hidden="0" customWidth="1"/>
    <x:col min="30" max="30" width="16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2" hidden="0" customWidth="1"/>
    <x:col min="38" max="38" width="14" hidden="0" customWidth="1"/>
    <x:col min="39" max="39" width="14" hidden="0" customWidth="1"/>
    <x:col min="40" max="40" width="36" hidden="0" customWidth="1"/>
  </x:cols>
  <x:sheetData>
    <x:row r="1" ht="30" customHeight="1">
      <x:c r="A1" s="412" t="str">
        <x:v>Gift Story — Box Costing &amp; Pricing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احسبي تكلفة كل بوكس وسعر كل قناة قبل البيع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28" t="str">
        <x:v>Box ID</x:v>
      </x:c>
      <x:c r="B4" s="429" t="str">
        <x:v>Box Name</x:v>
      </x:c>
      <x:c r="C4" s="429" t="str">
        <x:v>Category</x:v>
      </x:c>
      <x:c r="D4" s="429" t="str">
        <x:v>Drop Name</x:v>
      </x:c>
      <x:c r="E4" s="429" t="str">
        <x:v>Channel</x:v>
      </x:c>
      <x:c r="F4" s="429" t="str">
        <x:v>Status</x:v>
      </x:c>
      <x:c r="G4" s="429" t="str">
        <x:v>Product 1 ID</x:v>
      </x:c>
      <x:c r="H4" s="429" t="str">
        <x:v>Product 1 Name</x:v>
      </x:c>
      <x:c r="I4" s="429" t="str">
        <x:v>Product 1 Cost</x:v>
      </x:c>
      <x:c r="J4" s="429" t="str">
        <x:v>Product 2 ID</x:v>
      </x:c>
      <x:c r="K4" s="429" t="str">
        <x:v>Product 2 Name</x:v>
      </x:c>
      <x:c r="L4" s="429" t="str">
        <x:v>Product 2 Cost</x:v>
      </x:c>
      <x:c r="M4" s="429" t="str">
        <x:v>Product 3 ID</x:v>
      </x:c>
      <x:c r="N4" s="429" t="str">
        <x:v>Product 3 Name</x:v>
      </x:c>
      <x:c r="O4" s="429" t="str">
        <x:v>Product 3 Cost</x:v>
      </x:c>
      <x:c r="P4" s="429" t="str">
        <x:v>Product 4 ID</x:v>
      </x:c>
      <x:c r="Q4" s="429" t="str">
        <x:v>Product 4 Name</x:v>
      </x:c>
      <x:c r="R4" s="429" t="str">
        <x:v>Product 4 Cost</x:v>
      </x:c>
      <x:c r="S4" s="429" t="str">
        <x:v>Product 5 ID</x:v>
      </x:c>
      <x:c r="T4" s="429" t="str">
        <x:v>Product 5 Name</x:v>
      </x:c>
      <x:c r="U4" s="429" t="str">
        <x:v>Product 5 Cost</x:v>
      </x:c>
      <x:c r="V4" s="429" t="str">
        <x:v>Total Product Cost</x:v>
      </x:c>
      <x:c r="W4" s="429" t="str">
        <x:v>Packaging Cost</x:v>
      </x:c>
      <x:c r="X4" s="429" t="str">
        <x:v>Preparation Cost</x:v>
      </x:c>
      <x:c r="Y4" s="429" t="str">
        <x:v>Total Cost</x:v>
      </x:c>
      <x:c r="Z4" s="429" t="str">
        <x:v>Target Profit</x:v>
      </x:c>
      <x:c r="AA4" s="429" t="str">
        <x:v>Minimum Net Revenue</x:v>
      </x:c>
      <x:c r="AB4" s="429" t="str">
        <x:v>Payment %</x:v>
      </x:c>
      <x:c r="AC4" s="429" t="str">
        <x:v>Fixed Fee</x:v>
      </x:c>
      <x:c r="AD4" s="429" t="str">
        <x:v>App Commission %</x:v>
      </x:c>
      <x:c r="AE4" s="429" t="str">
        <x:v>Minimum Direct Price</x:v>
      </x:c>
      <x:c r="AF4" s="429" t="str">
        <x:v>Suggested Direct Price</x:v>
      </x:c>
      <x:c r="AG4" s="429" t="str">
        <x:v>Minimum App Price</x:v>
      </x:c>
      <x:c r="AH4" s="429" t="str">
        <x:v>Suggested App Price</x:v>
      </x:c>
      <x:c r="AI4" s="429" t="str">
        <x:v>Final Approved Price</x:v>
      </x:c>
      <x:c r="AJ4" s="429" t="str">
        <x:v>Profit After Fees</x:v>
      </x:c>
      <x:c r="AK4" s="429" t="str">
        <x:v>Profit %</x:v>
      </x:c>
      <x:c r="AL4" s="429" t="str">
        <x:v>Quantity Available</x:v>
      </x:c>
      <x:c r="AM4" s="429" t="str">
        <x:v>Approval Date</x:v>
      </x:c>
      <x:c r="AN4" s="430" t="str">
        <x:v>Notes</x:v>
      </x:c>
    </x:row>
    <x:row r="5">
      <x:c r="A5" s="361" t="str">
        <x:v>B-0001</x:v>
      </x:c>
      <x:c r="B5" s="362" t="str">
        <x:v>Little Story Box 01</x:v>
      </x:c>
      <x:c r="C5" s="362" t="str">
        <x:v>Little Stories</x:v>
      </x:c>
      <x:c r="D5" s="362" t="str">
        <x:v>Drop 01</x:v>
      </x:c>
      <x:c r="E5" s="362" t="str">
        <x:v>Salla/Zid</x:v>
      </x:c>
      <x:c r="F5" s="362" t="str">
        <x:v>Draft</x:v>
      </x:c>
      <x:c r="G5" s="362" t="str">
        <x:v>P-0001</x:v>
      </x:c>
      <x:c r="H5" s="362" t="str">
        <x:v>Example Baby Set</x:v>
      </x:c>
      <x:c r="I5" s="363" t="n">
        <x:v>75</x:v>
      </x:c>
      <x:c r="J5" s="362" t="str">
        <x:v>P-0002</x:v>
      </x:c>
      <x:c r="K5" s="362" t="str">
        <x:v>Example Baby Shoes</x:v>
      </x:c>
      <x:c r="L5" s="363" t="n">
        <x:v>45</x:v>
      </x:c>
      <x:c r="M5" s="362" t="str"/>
      <x:c r="N5" s="362" t="str"/>
      <x:c r="O5" s="363" t="n">
        <x:v>0</x:v>
      </x:c>
      <x:c r="P5" s="362" t="str"/>
      <x:c r="Q5" s="362" t="str"/>
      <x:c r="R5" s="363" t="n">
        <x:v>0</x:v>
      </x:c>
      <x:c r="S5" s="362" t="str"/>
      <x:c r="T5" s="362" t="str"/>
      <x:c r="U5" s="363" t="n">
        <x:v>0</x:v>
      </x:c>
      <x:c r="V5" s="363" t="n">
        <x:f>IF($A5="","",SUM(I5,L5,O5,R5,U5))</x:f>
        <x:v>120</x:v>
      </x:c>
      <x:c r="W5" s="363" t="n">
        <x:f>IF($A5="","",'Pricing Rules'!$B$5)</x:f>
        <x:v>18</x:v>
      </x:c>
      <x:c r="X5" s="363" t="n">
        <x:v>0</x:v>
      </x:c>
      <x:c r="Y5" s="363" t="n">
        <x:f>IF($A5="","",SUM(V5:X5))</x:f>
        <x:v>138</x:v>
      </x:c>
      <x:c r="Z5" s="363" t="n">
        <x:f>IF($A5="","",Y5*'Pricing Rules'!$B$6)</x:f>
        <x:v>69</x:v>
      </x:c>
      <x:c r="AA5" s="363" t="n">
        <x:f>IF($A5="","",Y5+Z5)</x:f>
        <x:v>207</x:v>
      </x:c>
      <x:c r="AB5" s="388" t="n">
        <x:f>IF($A5="","",'Pricing Rules'!$B$7)</x:f>
        <x:v>0.07</x:v>
      </x:c>
      <x:c r="AC5" s="363" t="n">
        <x:f>IF($A5="","",'Pricing Rules'!$B$8)</x:f>
        <x:v>1</x:v>
      </x:c>
      <x:c r="AD5" s="388" t="n">
        <x:f>IF($A5="","",'Pricing Rules'!$B$9)</x:f>
        <x:v>0.225</x:v>
      </x:c>
      <x:c r="AE5" s="363" t="n">
        <x:f>IF($A5="","",(AA5+AC5)/(1-AB5))</x:f>
        <x:v>223.65591397849465</x:v>
      </x:c>
      <x:c r="AF5" s="363" t="n">
        <x:v>249</x:v>
      </x:c>
      <x:c r="AG5" s="363" t="n">
        <x:f>IF($A5="","",AA5/(1-AD5))</x:f>
        <x:v>267.09677419354836</x:v>
      </x:c>
      <x:c r="AH5" s="363" t="n">
        <x:v>299</x:v>
      </x:c>
      <x:c r="AI5" s="363" t="n">
        <x:v>299</x:v>
      </x:c>
      <x:c r="AJ5" s="363" t="n">
        <x:f>IF($A5="","",IF(AI5&gt;0,IF(E5="Salla/Zid",AI5*(1-AB5)-AC5-Y5,IF(OR(E5="HungerStation",E5="ToYou",E5="The Chefz"),AI5*(1-AD5)-Y5,AI5-Y5)),""))</x:f>
        <x:v>139.07</x:v>
      </x:c>
      <x:c r="AK5" s="388" t="n">
        <x:f>IF($A5="","",IF(Y5&gt;0,AJ5/Y5,""))</x:f>
        <x:v>1.0077536231884057</x:v>
      </x:c>
      <x:c r="AL5" s="364" t="n">
        <x:v>1</x:v>
      </x:c>
      <x:c r="AM5" s="365" t="n">
        <x:v>46193.71193880787</x:v>
      </x:c>
      <x:c r="AN5" s="389" t="str">
        <x:v>Example row — replace costs with actual products.</x:v>
      </x:c>
    </x:row>
    <x:row r="6">
      <x:c r="A6" s="361"/>
      <x:c r="B6" s="362"/>
      <x:c r="C6" s="362"/>
      <x:c r="D6" s="362"/>
      <x:c r="E6" s="362"/>
      <x:c r="F6" s="362"/>
      <x:c r="G6" s="362"/>
      <x:c r="H6" s="362"/>
      <x:c r="I6" s="363"/>
      <x:c r="J6" s="362"/>
      <x:c r="K6" s="362"/>
      <x:c r="L6" s="363"/>
      <x:c r="M6" s="362"/>
      <x:c r="N6" s="362"/>
      <x:c r="O6" s="363"/>
      <x:c r="P6" s="362"/>
      <x:c r="Q6" s="362"/>
      <x:c r="R6" s="363"/>
      <x:c r="S6" s="362"/>
      <x:c r="T6" s="362"/>
      <x:c r="U6" s="363"/>
      <x:c r="V6" s="363" t="str">
        <x:f>IF($A6="","",SUM(I6,L6,O6,R6,U6))</x:f>
      </x:c>
      <x:c r="W6" s="363" t="str">
        <x:f>IF($A6="","",'Pricing Rules'!$B$5)</x:f>
      </x:c>
      <x:c r="X6" s="363"/>
      <x:c r="Y6" s="363" t="str">
        <x:f>IF($A6="","",SUM(V6:X6))</x:f>
      </x:c>
      <x:c r="Z6" s="363" t="str">
        <x:f>IF($A6="","",Y6*'Pricing Rules'!$B$6)</x:f>
      </x:c>
      <x:c r="AA6" s="363" t="str">
        <x:f>IF($A6="","",Y6+Z6)</x:f>
      </x:c>
      <x:c r="AB6" s="388" t="str">
        <x:f>IF($A6="","",'Pricing Rules'!$B$7)</x:f>
      </x:c>
      <x:c r="AC6" s="363" t="str">
        <x:f>IF($A6="","",'Pricing Rules'!$B$8)</x:f>
      </x:c>
      <x:c r="AD6" s="388" t="str">
        <x:f>IF($A6="","",'Pricing Rules'!$B$9)</x:f>
      </x:c>
      <x:c r="AE6" s="363" t="str">
        <x:f>IF($A6="","",(AA6+AC6)/(1-AB6))</x:f>
      </x:c>
      <x:c r="AF6" s="363"/>
      <x:c r="AG6" s="363" t="str">
        <x:f>IF($A6="","",AA6/(1-AD6))</x:f>
      </x:c>
      <x:c r="AH6" s="363"/>
      <x:c r="AI6" s="363"/>
      <x:c r="AJ6" s="363" t="str">
        <x:f>IF($A6="","",IF(AI6&gt;0,IF(E6="Salla/Zid",AI6*(1-AB6)-AC6-Y6,IF(OR(E6="HungerStation",E6="ToYou",E6="The Chefz"),AI6*(1-AD6)-Y6,AI6-Y6)),""))</x:f>
      </x:c>
      <x:c r="AK6" s="388" t="str">
        <x:f>IF($A6="","",IF(Y6&gt;0,AJ6/Y6,""))</x:f>
      </x:c>
      <x:c r="AL6" s="364"/>
      <x:c r="AM6" s="365"/>
      <x:c r="AN6" s="389"/>
    </x:row>
    <x:row r="7">
      <x:c r="A7" s="361"/>
      <x:c r="B7" s="362"/>
      <x:c r="C7" s="362"/>
      <x:c r="D7" s="362"/>
      <x:c r="E7" s="362"/>
      <x:c r="F7" s="362"/>
      <x:c r="G7" s="362"/>
      <x:c r="H7" s="362"/>
      <x:c r="I7" s="363"/>
      <x:c r="J7" s="362"/>
      <x:c r="K7" s="362"/>
      <x:c r="L7" s="363"/>
      <x:c r="M7" s="362"/>
      <x:c r="N7" s="362"/>
      <x:c r="O7" s="363"/>
      <x:c r="P7" s="362"/>
      <x:c r="Q7" s="362"/>
      <x:c r="R7" s="363"/>
      <x:c r="S7" s="362"/>
      <x:c r="T7" s="362"/>
      <x:c r="U7" s="363"/>
      <x:c r="V7" s="363" t="str">
        <x:f>IF($A7="","",SUM(I7,L7,O7,R7,U7))</x:f>
      </x:c>
      <x:c r="W7" s="363" t="str">
        <x:f>IF($A7="","",'Pricing Rules'!$B$5)</x:f>
      </x:c>
      <x:c r="X7" s="363"/>
      <x:c r="Y7" s="363" t="str">
        <x:f>IF($A7="","",SUM(V7:X7))</x:f>
      </x:c>
      <x:c r="Z7" s="363" t="str">
        <x:f>IF($A7="","",Y7*'Pricing Rules'!$B$6)</x:f>
      </x:c>
      <x:c r="AA7" s="363" t="str">
        <x:f>IF($A7="","",Y7+Z7)</x:f>
      </x:c>
      <x:c r="AB7" s="388" t="str">
        <x:f>IF($A7="","",'Pricing Rules'!$B$7)</x:f>
      </x:c>
      <x:c r="AC7" s="363" t="str">
        <x:f>IF($A7="","",'Pricing Rules'!$B$8)</x:f>
      </x:c>
      <x:c r="AD7" s="388" t="str">
        <x:f>IF($A7="","",'Pricing Rules'!$B$9)</x:f>
      </x:c>
      <x:c r="AE7" s="363" t="str">
        <x:f>IF($A7="","",(AA7+AC7)/(1-AB7))</x:f>
      </x:c>
      <x:c r="AF7" s="363"/>
      <x:c r="AG7" s="363" t="str">
        <x:f>IF($A7="","",AA7/(1-AD7))</x:f>
      </x:c>
      <x:c r="AH7" s="363"/>
      <x:c r="AI7" s="363"/>
      <x:c r="AJ7" s="363" t="str">
        <x:f>IF($A7="","",IF(AI7&gt;0,IF(E7="Salla/Zid",AI7*(1-AB7)-AC7-Y7,IF(OR(E7="HungerStation",E7="ToYou",E7="The Chefz"),AI7*(1-AD7)-Y7,AI7-Y7)),""))</x:f>
      </x:c>
      <x:c r="AK7" s="388" t="str">
        <x:f>IF($A7="","",IF(Y7&gt;0,AJ7/Y7,""))</x:f>
      </x:c>
      <x:c r="AL7" s="364"/>
      <x:c r="AM7" s="365"/>
      <x:c r="AN7" s="389"/>
    </x:row>
    <x:row r="8">
      <x:c r="A8" s="361"/>
      <x:c r="B8" s="362"/>
      <x:c r="C8" s="362"/>
      <x:c r="D8" s="362"/>
      <x:c r="E8" s="362"/>
      <x:c r="F8" s="362"/>
      <x:c r="G8" s="362"/>
      <x:c r="H8" s="362"/>
      <x:c r="I8" s="363"/>
      <x:c r="J8" s="362"/>
      <x:c r="K8" s="362"/>
      <x:c r="L8" s="363"/>
      <x:c r="M8" s="362"/>
      <x:c r="N8" s="362"/>
      <x:c r="O8" s="363"/>
      <x:c r="P8" s="362"/>
      <x:c r="Q8" s="362"/>
      <x:c r="R8" s="363"/>
      <x:c r="S8" s="362"/>
      <x:c r="T8" s="362"/>
      <x:c r="U8" s="363"/>
      <x:c r="V8" s="363" t="str">
        <x:f>IF($A8="","",SUM(I8,L8,O8,R8,U8))</x:f>
      </x:c>
      <x:c r="W8" s="363" t="str">
        <x:f>IF($A8="","",'Pricing Rules'!$B$5)</x:f>
      </x:c>
      <x:c r="X8" s="363"/>
      <x:c r="Y8" s="363" t="str">
        <x:f>IF($A8="","",SUM(V8:X8))</x:f>
      </x:c>
      <x:c r="Z8" s="363" t="str">
        <x:f>IF($A8="","",Y8*'Pricing Rules'!$B$6)</x:f>
      </x:c>
      <x:c r="AA8" s="363" t="str">
        <x:f>IF($A8="","",Y8+Z8)</x:f>
      </x:c>
      <x:c r="AB8" s="388" t="str">
        <x:f>IF($A8="","",'Pricing Rules'!$B$7)</x:f>
      </x:c>
      <x:c r="AC8" s="363" t="str">
        <x:f>IF($A8="","",'Pricing Rules'!$B$8)</x:f>
      </x:c>
      <x:c r="AD8" s="388" t="str">
        <x:f>IF($A8="","",'Pricing Rules'!$B$9)</x:f>
      </x:c>
      <x:c r="AE8" s="363" t="str">
        <x:f>IF($A8="","",(AA8+AC8)/(1-AB8))</x:f>
      </x:c>
      <x:c r="AF8" s="363"/>
      <x:c r="AG8" s="363" t="str">
        <x:f>IF($A8="","",AA8/(1-AD8))</x:f>
      </x:c>
      <x:c r="AH8" s="363"/>
      <x:c r="AI8" s="363"/>
      <x:c r="AJ8" s="363" t="str">
        <x:f>IF($A8="","",IF(AI8&gt;0,IF(E8="Salla/Zid",AI8*(1-AB8)-AC8-Y8,IF(OR(E8="HungerStation",E8="ToYou",E8="The Chefz"),AI8*(1-AD8)-Y8,AI8-Y8)),""))</x:f>
      </x:c>
      <x:c r="AK8" s="388" t="str">
        <x:f>IF($A8="","",IF(Y8&gt;0,AJ8/Y8,""))</x:f>
      </x:c>
      <x:c r="AL8" s="364"/>
      <x:c r="AM8" s="365"/>
      <x:c r="AN8" s="389"/>
    </x:row>
    <x:row r="9">
      <x:c r="A9" s="361"/>
      <x:c r="B9" s="362"/>
      <x:c r="C9" s="362"/>
      <x:c r="D9" s="362"/>
      <x:c r="E9" s="362"/>
      <x:c r="F9" s="362"/>
      <x:c r="G9" s="362"/>
      <x:c r="H9" s="362"/>
      <x:c r="I9" s="363"/>
      <x:c r="J9" s="362"/>
      <x:c r="K9" s="362"/>
      <x:c r="L9" s="363"/>
      <x:c r="M9" s="362"/>
      <x:c r="N9" s="362"/>
      <x:c r="O9" s="363"/>
      <x:c r="P9" s="362"/>
      <x:c r="Q9" s="362"/>
      <x:c r="R9" s="363"/>
      <x:c r="S9" s="362"/>
      <x:c r="T9" s="362"/>
      <x:c r="U9" s="363"/>
      <x:c r="V9" s="363" t="str">
        <x:f>IF($A9="","",SUM(I9,L9,O9,R9,U9))</x:f>
      </x:c>
      <x:c r="W9" s="363" t="str">
        <x:f>IF($A9="","",'Pricing Rules'!$B$5)</x:f>
      </x:c>
      <x:c r="X9" s="363"/>
      <x:c r="Y9" s="363" t="str">
        <x:f>IF($A9="","",SUM(V9:X9))</x:f>
      </x:c>
      <x:c r="Z9" s="363" t="str">
        <x:f>IF($A9="","",Y9*'Pricing Rules'!$B$6)</x:f>
      </x:c>
      <x:c r="AA9" s="363" t="str">
        <x:f>IF($A9="","",Y9+Z9)</x:f>
      </x:c>
      <x:c r="AB9" s="388" t="str">
        <x:f>IF($A9="","",'Pricing Rules'!$B$7)</x:f>
      </x:c>
      <x:c r="AC9" s="363" t="str">
        <x:f>IF($A9="","",'Pricing Rules'!$B$8)</x:f>
      </x:c>
      <x:c r="AD9" s="388" t="str">
        <x:f>IF($A9="","",'Pricing Rules'!$B$9)</x:f>
      </x:c>
      <x:c r="AE9" s="363" t="str">
        <x:f>IF($A9="","",(AA9+AC9)/(1-AB9))</x:f>
      </x:c>
      <x:c r="AF9" s="363"/>
      <x:c r="AG9" s="363" t="str">
        <x:f>IF($A9="","",AA9/(1-AD9))</x:f>
      </x:c>
      <x:c r="AH9" s="363"/>
      <x:c r="AI9" s="363"/>
      <x:c r="AJ9" s="363" t="str">
        <x:f>IF($A9="","",IF(AI9&gt;0,IF(E9="Salla/Zid",AI9*(1-AB9)-AC9-Y9,IF(OR(E9="HungerStation",E9="ToYou",E9="The Chefz"),AI9*(1-AD9)-Y9,AI9-Y9)),""))</x:f>
      </x:c>
      <x:c r="AK9" s="388" t="str">
        <x:f>IF($A9="","",IF(Y9&gt;0,AJ9/Y9,""))</x:f>
      </x:c>
      <x:c r="AL9" s="364"/>
      <x:c r="AM9" s="365"/>
      <x:c r="AN9" s="389"/>
    </x:row>
    <x:row r="10">
      <x:c r="A10" s="361"/>
      <x:c r="B10" s="362"/>
      <x:c r="C10" s="362"/>
      <x:c r="D10" s="362"/>
      <x:c r="E10" s="362"/>
      <x:c r="F10" s="362"/>
      <x:c r="G10" s="362"/>
      <x:c r="H10" s="362"/>
      <x:c r="I10" s="363"/>
      <x:c r="J10" s="362"/>
      <x:c r="K10" s="362"/>
      <x:c r="L10" s="363"/>
      <x:c r="M10" s="362"/>
      <x:c r="N10" s="362"/>
      <x:c r="O10" s="363"/>
      <x:c r="P10" s="362"/>
      <x:c r="Q10" s="362"/>
      <x:c r="R10" s="363"/>
      <x:c r="S10" s="362"/>
      <x:c r="T10" s="362"/>
      <x:c r="U10" s="363"/>
      <x:c r="V10" s="363" t="str">
        <x:f>IF($A10="","",SUM(I10,L10,O10,R10,U10))</x:f>
      </x:c>
      <x:c r="W10" s="363" t="str">
        <x:f>IF($A10="","",'Pricing Rules'!$B$5)</x:f>
      </x:c>
      <x:c r="X10" s="363"/>
      <x:c r="Y10" s="363" t="str">
        <x:f>IF($A10="","",SUM(V10:X10))</x:f>
      </x:c>
      <x:c r="Z10" s="363" t="str">
        <x:f>IF($A10="","",Y10*'Pricing Rules'!$B$6)</x:f>
      </x:c>
      <x:c r="AA10" s="363" t="str">
        <x:f>IF($A10="","",Y10+Z10)</x:f>
      </x:c>
      <x:c r="AB10" s="388" t="str">
        <x:f>IF($A10="","",'Pricing Rules'!$B$7)</x:f>
      </x:c>
      <x:c r="AC10" s="363" t="str">
        <x:f>IF($A10="","",'Pricing Rules'!$B$8)</x:f>
      </x:c>
      <x:c r="AD10" s="388" t="str">
        <x:f>IF($A10="","",'Pricing Rules'!$B$9)</x:f>
      </x:c>
      <x:c r="AE10" s="363" t="str">
        <x:f>IF($A10="","",(AA10+AC10)/(1-AB10))</x:f>
      </x:c>
      <x:c r="AF10" s="363"/>
      <x:c r="AG10" s="363" t="str">
        <x:f>IF($A10="","",AA10/(1-AD10))</x:f>
      </x:c>
      <x:c r="AH10" s="363"/>
      <x:c r="AI10" s="363"/>
      <x:c r="AJ10" s="363" t="str">
        <x:f>IF($A10="","",IF(AI10&gt;0,IF(E10="Salla/Zid",AI10*(1-AB10)-AC10-Y10,IF(OR(E10="HungerStation",E10="ToYou",E10="The Chefz"),AI10*(1-AD10)-Y10,AI10-Y10)),""))</x:f>
      </x:c>
      <x:c r="AK10" s="388" t="str">
        <x:f>IF($A10="","",IF(Y10&gt;0,AJ10/Y10,""))</x:f>
      </x:c>
      <x:c r="AL10" s="364"/>
      <x:c r="AM10" s="365"/>
      <x:c r="AN10" s="389"/>
    </x:row>
    <x:row r="11">
      <x:c r="A11" s="361"/>
      <x:c r="B11" s="362"/>
      <x:c r="C11" s="362"/>
      <x:c r="D11" s="362"/>
      <x:c r="E11" s="362"/>
      <x:c r="F11" s="362"/>
      <x:c r="G11" s="362"/>
      <x:c r="H11" s="362"/>
      <x:c r="I11" s="363"/>
      <x:c r="J11" s="362"/>
      <x:c r="K11" s="362"/>
      <x:c r="L11" s="363"/>
      <x:c r="M11" s="362"/>
      <x:c r="N11" s="362"/>
      <x:c r="O11" s="363"/>
      <x:c r="P11" s="362"/>
      <x:c r="Q11" s="362"/>
      <x:c r="R11" s="363"/>
      <x:c r="S11" s="362"/>
      <x:c r="T11" s="362"/>
      <x:c r="U11" s="363"/>
      <x:c r="V11" s="363" t="str">
        <x:f>IF($A11="","",SUM(I11,L11,O11,R11,U11))</x:f>
      </x:c>
      <x:c r="W11" s="363" t="str">
        <x:f>IF($A11="","",'Pricing Rules'!$B$5)</x:f>
      </x:c>
      <x:c r="X11" s="363"/>
      <x:c r="Y11" s="363" t="str">
        <x:f>IF($A11="","",SUM(V11:X11))</x:f>
      </x:c>
      <x:c r="Z11" s="363" t="str">
        <x:f>IF($A11="","",Y11*'Pricing Rules'!$B$6)</x:f>
      </x:c>
      <x:c r="AA11" s="363" t="str">
        <x:f>IF($A11="","",Y11+Z11)</x:f>
      </x:c>
      <x:c r="AB11" s="388" t="str">
        <x:f>IF($A11="","",'Pricing Rules'!$B$7)</x:f>
      </x:c>
      <x:c r="AC11" s="363" t="str">
        <x:f>IF($A11="","",'Pricing Rules'!$B$8)</x:f>
      </x:c>
      <x:c r="AD11" s="388" t="str">
        <x:f>IF($A11="","",'Pricing Rules'!$B$9)</x:f>
      </x:c>
      <x:c r="AE11" s="363" t="str">
        <x:f>IF($A11="","",(AA11+AC11)/(1-AB11))</x:f>
      </x:c>
      <x:c r="AF11" s="363"/>
      <x:c r="AG11" s="363" t="str">
        <x:f>IF($A11="","",AA11/(1-AD11))</x:f>
      </x:c>
      <x:c r="AH11" s="363"/>
      <x:c r="AI11" s="363"/>
      <x:c r="AJ11" s="363" t="str">
        <x:f>IF($A11="","",IF(AI11&gt;0,IF(E11="Salla/Zid",AI11*(1-AB11)-AC11-Y11,IF(OR(E11="HungerStation",E11="ToYou",E11="The Chefz"),AI11*(1-AD11)-Y11,AI11-Y11)),""))</x:f>
      </x:c>
      <x:c r="AK11" s="388" t="str">
        <x:f>IF($A11="","",IF(Y11&gt;0,AJ11/Y11,""))</x:f>
      </x:c>
      <x:c r="AL11" s="364"/>
      <x:c r="AM11" s="365"/>
      <x:c r="AN11" s="389"/>
    </x:row>
    <x:row r="12">
      <x:c r="A12" s="361"/>
      <x:c r="B12" s="362"/>
      <x:c r="C12" s="362"/>
      <x:c r="D12" s="362"/>
      <x:c r="E12" s="362"/>
      <x:c r="F12" s="362"/>
      <x:c r="G12" s="362"/>
      <x:c r="H12" s="362"/>
      <x:c r="I12" s="363"/>
      <x:c r="J12" s="362"/>
      <x:c r="K12" s="362"/>
      <x:c r="L12" s="363"/>
      <x:c r="M12" s="362"/>
      <x:c r="N12" s="362"/>
      <x:c r="O12" s="363"/>
      <x:c r="P12" s="362"/>
      <x:c r="Q12" s="362"/>
      <x:c r="R12" s="363"/>
      <x:c r="S12" s="362"/>
      <x:c r="T12" s="362"/>
      <x:c r="U12" s="363"/>
      <x:c r="V12" s="363" t="str">
        <x:f>IF($A12="","",SUM(I12,L12,O12,R12,U12))</x:f>
      </x:c>
      <x:c r="W12" s="363" t="str">
        <x:f>IF($A12="","",'Pricing Rules'!$B$5)</x:f>
      </x:c>
      <x:c r="X12" s="363"/>
      <x:c r="Y12" s="363" t="str">
        <x:f>IF($A12="","",SUM(V12:X12))</x:f>
      </x:c>
      <x:c r="Z12" s="363" t="str">
        <x:f>IF($A12="","",Y12*'Pricing Rules'!$B$6)</x:f>
      </x:c>
      <x:c r="AA12" s="363" t="str">
        <x:f>IF($A12="","",Y12+Z12)</x:f>
      </x:c>
      <x:c r="AB12" s="388" t="str">
        <x:f>IF($A12="","",'Pricing Rules'!$B$7)</x:f>
      </x:c>
      <x:c r="AC12" s="363" t="str">
        <x:f>IF($A12="","",'Pricing Rules'!$B$8)</x:f>
      </x:c>
      <x:c r="AD12" s="388" t="str">
        <x:f>IF($A12="","",'Pricing Rules'!$B$9)</x:f>
      </x:c>
      <x:c r="AE12" s="363" t="str">
        <x:f>IF($A12="","",(AA12+AC12)/(1-AB12))</x:f>
      </x:c>
      <x:c r="AF12" s="363"/>
      <x:c r="AG12" s="363" t="str">
        <x:f>IF($A12="","",AA12/(1-AD12))</x:f>
      </x:c>
      <x:c r="AH12" s="363"/>
      <x:c r="AI12" s="363"/>
      <x:c r="AJ12" s="363" t="str">
        <x:f>IF($A12="","",IF(AI12&gt;0,IF(E12="Salla/Zid",AI12*(1-AB12)-AC12-Y12,IF(OR(E12="HungerStation",E12="ToYou",E12="The Chefz"),AI12*(1-AD12)-Y12,AI12-Y12)),""))</x:f>
      </x:c>
      <x:c r="AK12" s="388" t="str">
        <x:f>IF($A12="","",IF(Y12&gt;0,AJ12/Y12,""))</x:f>
      </x:c>
      <x:c r="AL12" s="364"/>
      <x:c r="AM12" s="365"/>
      <x:c r="AN12" s="389"/>
    </x:row>
    <x:row r="13">
      <x:c r="A13" s="361"/>
      <x:c r="B13" s="362"/>
      <x:c r="C13" s="362"/>
      <x:c r="D13" s="362"/>
      <x:c r="E13" s="362"/>
      <x:c r="F13" s="362"/>
      <x:c r="G13" s="362"/>
      <x:c r="H13" s="362"/>
      <x:c r="I13" s="363"/>
      <x:c r="J13" s="362"/>
      <x:c r="K13" s="362"/>
      <x:c r="L13" s="363"/>
      <x:c r="M13" s="362"/>
      <x:c r="N13" s="362"/>
      <x:c r="O13" s="363"/>
      <x:c r="P13" s="362"/>
      <x:c r="Q13" s="362"/>
      <x:c r="R13" s="363"/>
      <x:c r="S13" s="362"/>
      <x:c r="T13" s="362"/>
      <x:c r="U13" s="363"/>
      <x:c r="V13" s="363" t="str">
        <x:f>IF($A13="","",SUM(I13,L13,O13,R13,U13))</x:f>
      </x:c>
      <x:c r="W13" s="363" t="str">
        <x:f>IF($A13="","",'Pricing Rules'!$B$5)</x:f>
      </x:c>
      <x:c r="X13" s="363"/>
      <x:c r="Y13" s="363" t="str">
        <x:f>IF($A13="","",SUM(V13:X13))</x:f>
      </x:c>
      <x:c r="Z13" s="363" t="str">
        <x:f>IF($A13="","",Y13*'Pricing Rules'!$B$6)</x:f>
      </x:c>
      <x:c r="AA13" s="363" t="str">
        <x:f>IF($A13="","",Y13+Z13)</x:f>
      </x:c>
      <x:c r="AB13" s="388" t="str">
        <x:f>IF($A13="","",'Pricing Rules'!$B$7)</x:f>
      </x:c>
      <x:c r="AC13" s="363" t="str">
        <x:f>IF($A13="","",'Pricing Rules'!$B$8)</x:f>
      </x:c>
      <x:c r="AD13" s="388" t="str">
        <x:f>IF($A13="","",'Pricing Rules'!$B$9)</x:f>
      </x:c>
      <x:c r="AE13" s="363" t="str">
        <x:f>IF($A13="","",(AA13+AC13)/(1-AB13))</x:f>
      </x:c>
      <x:c r="AF13" s="363"/>
      <x:c r="AG13" s="363" t="str">
        <x:f>IF($A13="","",AA13/(1-AD13))</x:f>
      </x:c>
      <x:c r="AH13" s="363"/>
      <x:c r="AI13" s="363"/>
      <x:c r="AJ13" s="363" t="str">
        <x:f>IF($A13="","",IF(AI13&gt;0,IF(E13="Salla/Zid",AI13*(1-AB13)-AC13-Y13,IF(OR(E13="HungerStation",E13="ToYou",E13="The Chefz"),AI13*(1-AD13)-Y13,AI13-Y13)),""))</x:f>
      </x:c>
      <x:c r="AK13" s="388" t="str">
        <x:f>IF($A13="","",IF(Y13&gt;0,AJ13/Y13,""))</x:f>
      </x:c>
      <x:c r="AL13" s="364"/>
      <x:c r="AM13" s="365"/>
      <x:c r="AN13" s="389"/>
    </x:row>
    <x:row r="14">
      <x:c r="A14" s="361"/>
      <x:c r="B14" s="362"/>
      <x:c r="C14" s="362"/>
      <x:c r="D14" s="362"/>
      <x:c r="E14" s="362"/>
      <x:c r="F14" s="362"/>
      <x:c r="G14" s="362"/>
      <x:c r="H14" s="362"/>
      <x:c r="I14" s="363"/>
      <x:c r="J14" s="362"/>
      <x:c r="K14" s="362"/>
      <x:c r="L14" s="363"/>
      <x:c r="M14" s="362"/>
      <x:c r="N14" s="362"/>
      <x:c r="O14" s="363"/>
      <x:c r="P14" s="362"/>
      <x:c r="Q14" s="362"/>
      <x:c r="R14" s="363"/>
      <x:c r="S14" s="362"/>
      <x:c r="T14" s="362"/>
      <x:c r="U14" s="363"/>
      <x:c r="V14" s="363" t="str">
        <x:f>IF($A14="","",SUM(I14,L14,O14,R14,U14))</x:f>
      </x:c>
      <x:c r="W14" s="363" t="str">
        <x:f>IF($A14="","",'Pricing Rules'!$B$5)</x:f>
      </x:c>
      <x:c r="X14" s="363"/>
      <x:c r="Y14" s="363" t="str">
        <x:f>IF($A14="","",SUM(V14:X14))</x:f>
      </x:c>
      <x:c r="Z14" s="363" t="str">
        <x:f>IF($A14="","",Y14*'Pricing Rules'!$B$6)</x:f>
      </x:c>
      <x:c r="AA14" s="363" t="str">
        <x:f>IF($A14="","",Y14+Z14)</x:f>
      </x:c>
      <x:c r="AB14" s="388" t="str">
        <x:f>IF($A14="","",'Pricing Rules'!$B$7)</x:f>
      </x:c>
      <x:c r="AC14" s="363" t="str">
        <x:f>IF($A14="","",'Pricing Rules'!$B$8)</x:f>
      </x:c>
      <x:c r="AD14" s="388" t="str">
        <x:f>IF($A14="","",'Pricing Rules'!$B$9)</x:f>
      </x:c>
      <x:c r="AE14" s="363" t="str">
        <x:f>IF($A14="","",(AA14+AC14)/(1-AB14))</x:f>
      </x:c>
      <x:c r="AF14" s="363"/>
      <x:c r="AG14" s="363" t="str">
        <x:f>IF($A14="","",AA14/(1-AD14))</x:f>
      </x:c>
      <x:c r="AH14" s="363"/>
      <x:c r="AI14" s="363"/>
      <x:c r="AJ14" s="363" t="str">
        <x:f>IF($A14="","",IF(AI14&gt;0,IF(E14="Salla/Zid",AI14*(1-AB14)-AC14-Y14,IF(OR(E14="HungerStation",E14="ToYou",E14="The Chefz"),AI14*(1-AD14)-Y14,AI14-Y14)),""))</x:f>
      </x:c>
      <x:c r="AK14" s="388" t="str">
        <x:f>IF($A14="","",IF(Y14&gt;0,AJ14/Y14,""))</x:f>
      </x:c>
      <x:c r="AL14" s="364"/>
      <x:c r="AM14" s="365"/>
      <x:c r="AN14" s="389"/>
    </x:row>
    <x:row r="15">
      <x:c r="A15" s="361"/>
      <x:c r="B15" s="362"/>
      <x:c r="C15" s="362"/>
      <x:c r="D15" s="362"/>
      <x:c r="E15" s="362"/>
      <x:c r="F15" s="362"/>
      <x:c r="G15" s="362"/>
      <x:c r="H15" s="362"/>
      <x:c r="I15" s="363"/>
      <x:c r="J15" s="362"/>
      <x:c r="K15" s="362"/>
      <x:c r="L15" s="363"/>
      <x:c r="M15" s="362"/>
      <x:c r="N15" s="362"/>
      <x:c r="O15" s="363"/>
      <x:c r="P15" s="362"/>
      <x:c r="Q15" s="362"/>
      <x:c r="R15" s="363"/>
      <x:c r="S15" s="362"/>
      <x:c r="T15" s="362"/>
      <x:c r="U15" s="363"/>
      <x:c r="V15" s="363" t="str">
        <x:f>IF($A15="","",SUM(I15,L15,O15,R15,U15))</x:f>
      </x:c>
      <x:c r="W15" s="363" t="str">
        <x:f>IF($A15="","",'Pricing Rules'!$B$5)</x:f>
      </x:c>
      <x:c r="X15" s="363"/>
      <x:c r="Y15" s="363" t="str">
        <x:f>IF($A15="","",SUM(V15:X15))</x:f>
      </x:c>
      <x:c r="Z15" s="363" t="str">
        <x:f>IF($A15="","",Y15*'Pricing Rules'!$B$6)</x:f>
      </x:c>
      <x:c r="AA15" s="363" t="str">
        <x:f>IF($A15="","",Y15+Z15)</x:f>
      </x:c>
      <x:c r="AB15" s="388" t="str">
        <x:f>IF($A15="","",'Pricing Rules'!$B$7)</x:f>
      </x:c>
      <x:c r="AC15" s="363" t="str">
        <x:f>IF($A15="","",'Pricing Rules'!$B$8)</x:f>
      </x:c>
      <x:c r="AD15" s="388" t="str">
        <x:f>IF($A15="","",'Pricing Rules'!$B$9)</x:f>
      </x:c>
      <x:c r="AE15" s="363" t="str">
        <x:f>IF($A15="","",(AA15+AC15)/(1-AB15))</x:f>
      </x:c>
      <x:c r="AF15" s="363"/>
      <x:c r="AG15" s="363" t="str">
        <x:f>IF($A15="","",AA15/(1-AD15))</x:f>
      </x:c>
      <x:c r="AH15" s="363"/>
      <x:c r="AI15" s="363"/>
      <x:c r="AJ15" s="363" t="str">
        <x:f>IF($A15="","",IF(AI15&gt;0,IF(E15="Salla/Zid",AI15*(1-AB15)-AC15-Y15,IF(OR(E15="HungerStation",E15="ToYou",E15="The Chefz"),AI15*(1-AD15)-Y15,AI15-Y15)),""))</x:f>
      </x:c>
      <x:c r="AK15" s="388" t="str">
        <x:f>IF($A15="","",IF(Y15&gt;0,AJ15/Y15,""))</x:f>
      </x:c>
      <x:c r="AL15" s="364"/>
      <x:c r="AM15" s="365"/>
      <x:c r="AN15" s="389"/>
    </x:row>
    <x:row r="16">
      <x:c r="A16" s="361"/>
      <x:c r="B16" s="362"/>
      <x:c r="C16" s="362"/>
      <x:c r="D16" s="362"/>
      <x:c r="E16" s="362"/>
      <x:c r="F16" s="362"/>
      <x:c r="G16" s="362"/>
      <x:c r="H16" s="362"/>
      <x:c r="I16" s="363"/>
      <x:c r="J16" s="362"/>
      <x:c r="K16" s="362"/>
      <x:c r="L16" s="363"/>
      <x:c r="M16" s="362"/>
      <x:c r="N16" s="362"/>
      <x:c r="O16" s="363"/>
      <x:c r="P16" s="362"/>
      <x:c r="Q16" s="362"/>
      <x:c r="R16" s="363"/>
      <x:c r="S16" s="362"/>
      <x:c r="T16" s="362"/>
      <x:c r="U16" s="363"/>
      <x:c r="V16" s="363" t="str">
        <x:f>IF($A16="","",SUM(I16,L16,O16,R16,U16))</x:f>
      </x:c>
      <x:c r="W16" s="363" t="str">
        <x:f>IF($A16="","",'Pricing Rules'!$B$5)</x:f>
      </x:c>
      <x:c r="X16" s="363"/>
      <x:c r="Y16" s="363" t="str">
        <x:f>IF($A16="","",SUM(V16:X16))</x:f>
      </x:c>
      <x:c r="Z16" s="363" t="str">
        <x:f>IF($A16="","",Y16*'Pricing Rules'!$B$6)</x:f>
      </x:c>
      <x:c r="AA16" s="363" t="str">
        <x:f>IF($A16="","",Y16+Z16)</x:f>
      </x:c>
      <x:c r="AB16" s="388" t="str">
        <x:f>IF($A16="","",'Pricing Rules'!$B$7)</x:f>
      </x:c>
      <x:c r="AC16" s="363" t="str">
        <x:f>IF($A16="","",'Pricing Rules'!$B$8)</x:f>
      </x:c>
      <x:c r="AD16" s="388" t="str">
        <x:f>IF($A16="","",'Pricing Rules'!$B$9)</x:f>
      </x:c>
      <x:c r="AE16" s="363" t="str">
        <x:f>IF($A16="","",(AA16+AC16)/(1-AB16))</x:f>
      </x:c>
      <x:c r="AF16" s="363"/>
      <x:c r="AG16" s="363" t="str">
        <x:f>IF($A16="","",AA16/(1-AD16))</x:f>
      </x:c>
      <x:c r="AH16" s="363"/>
      <x:c r="AI16" s="363"/>
      <x:c r="AJ16" s="363" t="str">
        <x:f>IF($A16="","",IF(AI16&gt;0,IF(E16="Salla/Zid",AI16*(1-AB16)-AC16-Y16,IF(OR(E16="HungerStation",E16="ToYou",E16="The Chefz"),AI16*(1-AD16)-Y16,AI16-Y16)),""))</x:f>
      </x:c>
      <x:c r="AK16" s="388" t="str">
        <x:f>IF($A16="","",IF(Y16&gt;0,AJ16/Y16,""))</x:f>
      </x:c>
      <x:c r="AL16" s="364"/>
      <x:c r="AM16" s="365"/>
      <x:c r="AN16" s="389"/>
    </x:row>
    <x:row r="17">
      <x:c r="A17" s="361"/>
      <x:c r="B17" s="362"/>
      <x:c r="C17" s="362"/>
      <x:c r="D17" s="362"/>
      <x:c r="E17" s="362"/>
      <x:c r="F17" s="362"/>
      <x:c r="G17" s="362"/>
      <x:c r="H17" s="362"/>
      <x:c r="I17" s="363"/>
      <x:c r="J17" s="362"/>
      <x:c r="K17" s="362"/>
      <x:c r="L17" s="363"/>
      <x:c r="M17" s="362"/>
      <x:c r="N17" s="362"/>
      <x:c r="O17" s="363"/>
      <x:c r="P17" s="362"/>
      <x:c r="Q17" s="362"/>
      <x:c r="R17" s="363"/>
      <x:c r="S17" s="362"/>
      <x:c r="T17" s="362"/>
      <x:c r="U17" s="363"/>
      <x:c r="V17" s="363" t="str">
        <x:f>IF($A17="","",SUM(I17,L17,O17,R17,U17))</x:f>
      </x:c>
      <x:c r="W17" s="363" t="str">
        <x:f>IF($A17="","",'Pricing Rules'!$B$5)</x:f>
      </x:c>
      <x:c r="X17" s="363"/>
      <x:c r="Y17" s="363" t="str">
        <x:f>IF($A17="","",SUM(V17:X17))</x:f>
      </x:c>
      <x:c r="Z17" s="363" t="str">
        <x:f>IF($A17="","",Y17*'Pricing Rules'!$B$6)</x:f>
      </x:c>
      <x:c r="AA17" s="363" t="str">
        <x:f>IF($A17="","",Y17+Z17)</x:f>
      </x:c>
      <x:c r="AB17" s="388" t="str">
        <x:f>IF($A17="","",'Pricing Rules'!$B$7)</x:f>
      </x:c>
      <x:c r="AC17" s="363" t="str">
        <x:f>IF($A17="","",'Pricing Rules'!$B$8)</x:f>
      </x:c>
      <x:c r="AD17" s="388" t="str">
        <x:f>IF($A17="","",'Pricing Rules'!$B$9)</x:f>
      </x:c>
      <x:c r="AE17" s="363" t="str">
        <x:f>IF($A17="","",(AA17+AC17)/(1-AB17))</x:f>
      </x:c>
      <x:c r="AF17" s="363"/>
      <x:c r="AG17" s="363" t="str">
        <x:f>IF($A17="","",AA17/(1-AD17))</x:f>
      </x:c>
      <x:c r="AH17" s="363"/>
      <x:c r="AI17" s="363"/>
      <x:c r="AJ17" s="363" t="str">
        <x:f>IF($A17="","",IF(AI17&gt;0,IF(E17="Salla/Zid",AI17*(1-AB17)-AC17-Y17,IF(OR(E17="HungerStation",E17="ToYou",E17="The Chefz"),AI17*(1-AD17)-Y17,AI17-Y17)),""))</x:f>
      </x:c>
      <x:c r="AK17" s="388" t="str">
        <x:f>IF($A17="","",IF(Y17&gt;0,AJ17/Y17,""))</x:f>
      </x:c>
      <x:c r="AL17" s="364"/>
      <x:c r="AM17" s="365"/>
      <x:c r="AN17" s="389"/>
    </x:row>
    <x:row r="18">
      <x:c r="A18" s="361"/>
      <x:c r="B18" s="362"/>
      <x:c r="C18" s="362"/>
      <x:c r="D18" s="362"/>
      <x:c r="E18" s="362"/>
      <x:c r="F18" s="362"/>
      <x:c r="G18" s="362"/>
      <x:c r="H18" s="362"/>
      <x:c r="I18" s="363"/>
      <x:c r="J18" s="362"/>
      <x:c r="K18" s="362"/>
      <x:c r="L18" s="363"/>
      <x:c r="M18" s="362"/>
      <x:c r="N18" s="362"/>
      <x:c r="O18" s="363"/>
      <x:c r="P18" s="362"/>
      <x:c r="Q18" s="362"/>
      <x:c r="R18" s="363"/>
      <x:c r="S18" s="362"/>
      <x:c r="T18" s="362"/>
      <x:c r="U18" s="363"/>
      <x:c r="V18" s="363" t="str">
        <x:f>IF($A18="","",SUM(I18,L18,O18,R18,U18))</x:f>
      </x:c>
      <x:c r="W18" s="363" t="str">
        <x:f>IF($A18="","",'Pricing Rules'!$B$5)</x:f>
      </x:c>
      <x:c r="X18" s="363"/>
      <x:c r="Y18" s="363" t="str">
        <x:f>IF($A18="","",SUM(V18:X18))</x:f>
      </x:c>
      <x:c r="Z18" s="363" t="str">
        <x:f>IF($A18="","",Y18*'Pricing Rules'!$B$6)</x:f>
      </x:c>
      <x:c r="AA18" s="363" t="str">
        <x:f>IF($A18="","",Y18+Z18)</x:f>
      </x:c>
      <x:c r="AB18" s="388" t="str">
        <x:f>IF($A18="","",'Pricing Rules'!$B$7)</x:f>
      </x:c>
      <x:c r="AC18" s="363" t="str">
        <x:f>IF($A18="","",'Pricing Rules'!$B$8)</x:f>
      </x:c>
      <x:c r="AD18" s="388" t="str">
        <x:f>IF($A18="","",'Pricing Rules'!$B$9)</x:f>
      </x:c>
      <x:c r="AE18" s="363" t="str">
        <x:f>IF($A18="","",(AA18+AC18)/(1-AB18))</x:f>
      </x:c>
      <x:c r="AF18" s="363"/>
      <x:c r="AG18" s="363" t="str">
        <x:f>IF($A18="","",AA18/(1-AD18))</x:f>
      </x:c>
      <x:c r="AH18" s="363"/>
      <x:c r="AI18" s="363"/>
      <x:c r="AJ18" s="363" t="str">
        <x:f>IF($A18="","",IF(AI18&gt;0,IF(E18="Salla/Zid",AI18*(1-AB18)-AC18-Y18,IF(OR(E18="HungerStation",E18="ToYou",E18="The Chefz"),AI18*(1-AD18)-Y18,AI18-Y18)),""))</x:f>
      </x:c>
      <x:c r="AK18" s="388" t="str">
        <x:f>IF($A18="","",IF(Y18&gt;0,AJ18/Y18,""))</x:f>
      </x:c>
      <x:c r="AL18" s="364"/>
      <x:c r="AM18" s="365"/>
      <x:c r="AN18" s="389"/>
    </x:row>
    <x:row r="19">
      <x:c r="A19" s="361"/>
      <x:c r="B19" s="362"/>
      <x:c r="C19" s="362"/>
      <x:c r="D19" s="362"/>
      <x:c r="E19" s="362"/>
      <x:c r="F19" s="362"/>
      <x:c r="G19" s="362"/>
      <x:c r="H19" s="362"/>
      <x:c r="I19" s="363"/>
      <x:c r="J19" s="362"/>
      <x:c r="K19" s="362"/>
      <x:c r="L19" s="363"/>
      <x:c r="M19" s="362"/>
      <x:c r="N19" s="362"/>
      <x:c r="O19" s="363"/>
      <x:c r="P19" s="362"/>
      <x:c r="Q19" s="362"/>
      <x:c r="R19" s="363"/>
      <x:c r="S19" s="362"/>
      <x:c r="T19" s="362"/>
      <x:c r="U19" s="363"/>
      <x:c r="V19" s="363" t="str">
        <x:f>IF($A19="","",SUM(I19,L19,O19,R19,U19))</x:f>
      </x:c>
      <x:c r="W19" s="363" t="str">
        <x:f>IF($A19="","",'Pricing Rules'!$B$5)</x:f>
      </x:c>
      <x:c r="X19" s="363"/>
      <x:c r="Y19" s="363" t="str">
        <x:f>IF($A19="","",SUM(V19:X19))</x:f>
      </x:c>
      <x:c r="Z19" s="363" t="str">
        <x:f>IF($A19="","",Y19*'Pricing Rules'!$B$6)</x:f>
      </x:c>
      <x:c r="AA19" s="363" t="str">
        <x:f>IF($A19="","",Y19+Z19)</x:f>
      </x:c>
      <x:c r="AB19" s="388" t="str">
        <x:f>IF($A19="","",'Pricing Rules'!$B$7)</x:f>
      </x:c>
      <x:c r="AC19" s="363" t="str">
        <x:f>IF($A19="","",'Pricing Rules'!$B$8)</x:f>
      </x:c>
      <x:c r="AD19" s="388" t="str">
        <x:f>IF($A19="","",'Pricing Rules'!$B$9)</x:f>
      </x:c>
      <x:c r="AE19" s="363" t="str">
        <x:f>IF($A19="","",(AA19+AC19)/(1-AB19))</x:f>
      </x:c>
      <x:c r="AF19" s="363"/>
      <x:c r="AG19" s="363" t="str">
        <x:f>IF($A19="","",AA19/(1-AD19))</x:f>
      </x:c>
      <x:c r="AH19" s="363"/>
      <x:c r="AI19" s="363"/>
      <x:c r="AJ19" s="363" t="str">
        <x:f>IF($A19="","",IF(AI19&gt;0,IF(E19="Salla/Zid",AI19*(1-AB19)-AC19-Y19,IF(OR(E19="HungerStation",E19="ToYou",E19="The Chefz"),AI19*(1-AD19)-Y19,AI19-Y19)),""))</x:f>
      </x:c>
      <x:c r="AK19" s="388" t="str">
        <x:f>IF($A19="","",IF(Y19&gt;0,AJ19/Y19,""))</x:f>
      </x:c>
      <x:c r="AL19" s="364"/>
      <x:c r="AM19" s="365"/>
      <x:c r="AN19" s="389"/>
    </x:row>
    <x:row r="20">
      <x:c r="A20" s="361"/>
      <x:c r="B20" s="362"/>
      <x:c r="C20" s="362"/>
      <x:c r="D20" s="362"/>
      <x:c r="E20" s="362"/>
      <x:c r="F20" s="362"/>
      <x:c r="G20" s="362"/>
      <x:c r="H20" s="362"/>
      <x:c r="I20" s="363"/>
      <x:c r="J20" s="362"/>
      <x:c r="K20" s="362"/>
      <x:c r="L20" s="363"/>
      <x:c r="M20" s="362"/>
      <x:c r="N20" s="362"/>
      <x:c r="O20" s="363"/>
      <x:c r="P20" s="362"/>
      <x:c r="Q20" s="362"/>
      <x:c r="R20" s="363"/>
      <x:c r="S20" s="362"/>
      <x:c r="T20" s="362"/>
      <x:c r="U20" s="363"/>
      <x:c r="V20" s="363" t="str">
        <x:f>IF($A20="","",SUM(I20,L20,O20,R20,U20))</x:f>
      </x:c>
      <x:c r="W20" s="363" t="str">
        <x:f>IF($A20="","",'Pricing Rules'!$B$5)</x:f>
      </x:c>
      <x:c r="X20" s="363"/>
      <x:c r="Y20" s="363" t="str">
        <x:f>IF($A20="","",SUM(V20:X20))</x:f>
      </x:c>
      <x:c r="Z20" s="363" t="str">
        <x:f>IF($A20="","",Y20*'Pricing Rules'!$B$6)</x:f>
      </x:c>
      <x:c r="AA20" s="363" t="str">
        <x:f>IF($A20="","",Y20+Z20)</x:f>
      </x:c>
      <x:c r="AB20" s="388" t="str">
        <x:f>IF($A20="","",'Pricing Rules'!$B$7)</x:f>
      </x:c>
      <x:c r="AC20" s="363" t="str">
        <x:f>IF($A20="","",'Pricing Rules'!$B$8)</x:f>
      </x:c>
      <x:c r="AD20" s="388" t="str">
        <x:f>IF($A20="","",'Pricing Rules'!$B$9)</x:f>
      </x:c>
      <x:c r="AE20" s="363" t="str">
        <x:f>IF($A20="","",(AA20+AC20)/(1-AB20))</x:f>
      </x:c>
      <x:c r="AF20" s="363"/>
      <x:c r="AG20" s="363" t="str">
        <x:f>IF($A20="","",AA20/(1-AD20))</x:f>
      </x:c>
      <x:c r="AH20" s="363"/>
      <x:c r="AI20" s="363"/>
      <x:c r="AJ20" s="363" t="str">
        <x:f>IF($A20="","",IF(AI20&gt;0,IF(E20="Salla/Zid",AI20*(1-AB20)-AC20-Y20,IF(OR(E20="HungerStation",E20="ToYou",E20="The Chefz"),AI20*(1-AD20)-Y20,AI20-Y20)),""))</x:f>
      </x:c>
      <x:c r="AK20" s="388" t="str">
        <x:f>IF($A20="","",IF(Y20&gt;0,AJ20/Y20,""))</x:f>
      </x:c>
      <x:c r="AL20" s="364"/>
      <x:c r="AM20" s="365"/>
      <x:c r="AN20" s="389"/>
    </x:row>
    <x:row r="21">
      <x:c r="A21" s="361"/>
      <x:c r="B21" s="362"/>
      <x:c r="C21" s="362"/>
      <x:c r="D21" s="362"/>
      <x:c r="E21" s="362"/>
      <x:c r="F21" s="362"/>
      <x:c r="G21" s="362"/>
      <x:c r="H21" s="362"/>
      <x:c r="I21" s="363"/>
      <x:c r="J21" s="362"/>
      <x:c r="K21" s="362"/>
      <x:c r="L21" s="363"/>
      <x:c r="M21" s="362"/>
      <x:c r="N21" s="362"/>
      <x:c r="O21" s="363"/>
      <x:c r="P21" s="362"/>
      <x:c r="Q21" s="362"/>
      <x:c r="R21" s="363"/>
      <x:c r="S21" s="362"/>
      <x:c r="T21" s="362"/>
      <x:c r="U21" s="363"/>
      <x:c r="V21" s="363" t="str">
        <x:f>IF($A21="","",SUM(I21,L21,O21,R21,U21))</x:f>
      </x:c>
      <x:c r="W21" s="363" t="str">
        <x:f>IF($A21="","",'Pricing Rules'!$B$5)</x:f>
      </x:c>
      <x:c r="X21" s="363"/>
      <x:c r="Y21" s="363" t="str">
        <x:f>IF($A21="","",SUM(V21:X21))</x:f>
      </x:c>
      <x:c r="Z21" s="363" t="str">
        <x:f>IF($A21="","",Y21*'Pricing Rules'!$B$6)</x:f>
      </x:c>
      <x:c r="AA21" s="363" t="str">
        <x:f>IF($A21="","",Y21+Z21)</x:f>
      </x:c>
      <x:c r="AB21" s="388" t="str">
        <x:f>IF($A21="","",'Pricing Rules'!$B$7)</x:f>
      </x:c>
      <x:c r="AC21" s="363" t="str">
        <x:f>IF($A21="","",'Pricing Rules'!$B$8)</x:f>
      </x:c>
      <x:c r="AD21" s="388" t="str">
        <x:f>IF($A21="","",'Pricing Rules'!$B$9)</x:f>
      </x:c>
      <x:c r="AE21" s="363" t="str">
        <x:f>IF($A21="","",(AA21+AC21)/(1-AB21))</x:f>
      </x:c>
      <x:c r="AF21" s="363"/>
      <x:c r="AG21" s="363" t="str">
        <x:f>IF($A21="","",AA21/(1-AD21))</x:f>
      </x:c>
      <x:c r="AH21" s="363"/>
      <x:c r="AI21" s="363"/>
      <x:c r="AJ21" s="363" t="str">
        <x:f>IF($A21="","",IF(AI21&gt;0,IF(E21="Salla/Zid",AI21*(1-AB21)-AC21-Y21,IF(OR(E21="HungerStation",E21="ToYou",E21="The Chefz"),AI21*(1-AD21)-Y21,AI21-Y21)),""))</x:f>
      </x:c>
      <x:c r="AK21" s="388" t="str">
        <x:f>IF($A21="","",IF(Y21&gt;0,AJ21/Y21,""))</x:f>
      </x:c>
      <x:c r="AL21" s="364"/>
      <x:c r="AM21" s="365"/>
      <x:c r="AN21" s="389"/>
    </x:row>
    <x:row r="22">
      <x:c r="A22" s="361"/>
      <x:c r="B22" s="362"/>
      <x:c r="C22" s="362"/>
      <x:c r="D22" s="362"/>
      <x:c r="E22" s="362"/>
      <x:c r="F22" s="362"/>
      <x:c r="G22" s="362"/>
      <x:c r="H22" s="362"/>
      <x:c r="I22" s="363"/>
      <x:c r="J22" s="362"/>
      <x:c r="K22" s="362"/>
      <x:c r="L22" s="363"/>
      <x:c r="M22" s="362"/>
      <x:c r="N22" s="362"/>
      <x:c r="O22" s="363"/>
      <x:c r="P22" s="362"/>
      <x:c r="Q22" s="362"/>
      <x:c r="R22" s="363"/>
      <x:c r="S22" s="362"/>
      <x:c r="T22" s="362"/>
      <x:c r="U22" s="363"/>
      <x:c r="V22" s="363" t="str">
        <x:f>IF($A22="","",SUM(I22,L22,O22,R22,U22))</x:f>
      </x:c>
      <x:c r="W22" s="363" t="str">
        <x:f>IF($A22="","",'Pricing Rules'!$B$5)</x:f>
      </x:c>
      <x:c r="X22" s="363"/>
      <x:c r="Y22" s="363" t="str">
        <x:f>IF($A22="","",SUM(V22:X22))</x:f>
      </x:c>
      <x:c r="Z22" s="363" t="str">
        <x:f>IF($A22="","",Y22*'Pricing Rules'!$B$6)</x:f>
      </x:c>
      <x:c r="AA22" s="363" t="str">
        <x:f>IF($A22="","",Y22+Z22)</x:f>
      </x:c>
      <x:c r="AB22" s="388" t="str">
        <x:f>IF($A22="","",'Pricing Rules'!$B$7)</x:f>
      </x:c>
      <x:c r="AC22" s="363" t="str">
        <x:f>IF($A22="","",'Pricing Rules'!$B$8)</x:f>
      </x:c>
      <x:c r="AD22" s="388" t="str">
        <x:f>IF($A22="","",'Pricing Rules'!$B$9)</x:f>
      </x:c>
      <x:c r="AE22" s="363" t="str">
        <x:f>IF($A22="","",(AA22+AC22)/(1-AB22))</x:f>
      </x:c>
      <x:c r="AF22" s="363"/>
      <x:c r="AG22" s="363" t="str">
        <x:f>IF($A22="","",AA22/(1-AD22))</x:f>
      </x:c>
      <x:c r="AH22" s="363"/>
      <x:c r="AI22" s="363"/>
      <x:c r="AJ22" s="363" t="str">
        <x:f>IF($A22="","",IF(AI22&gt;0,IF(E22="Salla/Zid",AI22*(1-AB22)-AC22-Y22,IF(OR(E22="HungerStation",E22="ToYou",E22="The Chefz"),AI22*(1-AD22)-Y22,AI22-Y22)),""))</x:f>
      </x:c>
      <x:c r="AK22" s="388" t="str">
        <x:f>IF($A22="","",IF(Y22&gt;0,AJ22/Y22,""))</x:f>
      </x:c>
      <x:c r="AL22" s="364"/>
      <x:c r="AM22" s="365"/>
      <x:c r="AN22" s="389"/>
    </x:row>
    <x:row r="23">
      <x:c r="A23" s="361"/>
      <x:c r="B23" s="362"/>
      <x:c r="C23" s="362"/>
      <x:c r="D23" s="362"/>
      <x:c r="E23" s="362"/>
      <x:c r="F23" s="362"/>
      <x:c r="G23" s="362"/>
      <x:c r="H23" s="362"/>
      <x:c r="I23" s="363"/>
      <x:c r="J23" s="362"/>
      <x:c r="K23" s="362"/>
      <x:c r="L23" s="363"/>
      <x:c r="M23" s="362"/>
      <x:c r="N23" s="362"/>
      <x:c r="O23" s="363"/>
      <x:c r="P23" s="362"/>
      <x:c r="Q23" s="362"/>
      <x:c r="R23" s="363"/>
      <x:c r="S23" s="362"/>
      <x:c r="T23" s="362"/>
      <x:c r="U23" s="363"/>
      <x:c r="V23" s="363" t="str">
        <x:f>IF($A23="","",SUM(I23,L23,O23,R23,U23))</x:f>
      </x:c>
      <x:c r="W23" s="363" t="str">
        <x:f>IF($A23="","",'Pricing Rules'!$B$5)</x:f>
      </x:c>
      <x:c r="X23" s="363"/>
      <x:c r="Y23" s="363" t="str">
        <x:f>IF($A23="","",SUM(V23:X23))</x:f>
      </x:c>
      <x:c r="Z23" s="363" t="str">
        <x:f>IF($A23="","",Y23*'Pricing Rules'!$B$6)</x:f>
      </x:c>
      <x:c r="AA23" s="363" t="str">
        <x:f>IF($A23="","",Y23+Z23)</x:f>
      </x:c>
      <x:c r="AB23" s="388" t="str">
        <x:f>IF($A23="","",'Pricing Rules'!$B$7)</x:f>
      </x:c>
      <x:c r="AC23" s="363" t="str">
        <x:f>IF($A23="","",'Pricing Rules'!$B$8)</x:f>
      </x:c>
      <x:c r="AD23" s="388" t="str">
        <x:f>IF($A23="","",'Pricing Rules'!$B$9)</x:f>
      </x:c>
      <x:c r="AE23" s="363" t="str">
        <x:f>IF($A23="","",(AA23+AC23)/(1-AB23))</x:f>
      </x:c>
      <x:c r="AF23" s="363"/>
      <x:c r="AG23" s="363" t="str">
        <x:f>IF($A23="","",AA23/(1-AD23))</x:f>
      </x:c>
      <x:c r="AH23" s="363"/>
      <x:c r="AI23" s="363"/>
      <x:c r="AJ23" s="363" t="str">
        <x:f>IF($A23="","",IF(AI23&gt;0,IF(E23="Salla/Zid",AI23*(1-AB23)-AC23-Y23,IF(OR(E23="HungerStation",E23="ToYou",E23="The Chefz"),AI23*(1-AD23)-Y23,AI23-Y23)),""))</x:f>
      </x:c>
      <x:c r="AK23" s="388" t="str">
        <x:f>IF($A23="","",IF(Y23&gt;0,AJ23/Y23,""))</x:f>
      </x:c>
      <x:c r="AL23" s="364"/>
      <x:c r="AM23" s="365"/>
      <x:c r="AN23" s="389"/>
    </x:row>
    <x:row r="24">
      <x:c r="A24" s="361"/>
      <x:c r="B24" s="362"/>
      <x:c r="C24" s="362"/>
      <x:c r="D24" s="362"/>
      <x:c r="E24" s="362"/>
      <x:c r="F24" s="362"/>
      <x:c r="G24" s="362"/>
      <x:c r="H24" s="362"/>
      <x:c r="I24" s="363"/>
      <x:c r="J24" s="362"/>
      <x:c r="K24" s="362"/>
      <x:c r="L24" s="363"/>
      <x:c r="M24" s="362"/>
      <x:c r="N24" s="362"/>
      <x:c r="O24" s="363"/>
      <x:c r="P24" s="362"/>
      <x:c r="Q24" s="362"/>
      <x:c r="R24" s="363"/>
      <x:c r="S24" s="362"/>
      <x:c r="T24" s="362"/>
      <x:c r="U24" s="363"/>
      <x:c r="V24" s="363" t="str">
        <x:f>IF($A24="","",SUM(I24,L24,O24,R24,U24))</x:f>
      </x:c>
      <x:c r="W24" s="363" t="str">
        <x:f>IF($A24="","",'Pricing Rules'!$B$5)</x:f>
      </x:c>
      <x:c r="X24" s="363"/>
      <x:c r="Y24" s="363" t="str">
        <x:f>IF($A24="","",SUM(V24:X24))</x:f>
      </x:c>
      <x:c r="Z24" s="363" t="str">
        <x:f>IF($A24="","",Y24*'Pricing Rules'!$B$6)</x:f>
      </x:c>
      <x:c r="AA24" s="363" t="str">
        <x:f>IF($A24="","",Y24+Z24)</x:f>
      </x:c>
      <x:c r="AB24" s="388" t="str">
        <x:f>IF($A24="","",'Pricing Rules'!$B$7)</x:f>
      </x:c>
      <x:c r="AC24" s="363" t="str">
        <x:f>IF($A24="","",'Pricing Rules'!$B$8)</x:f>
      </x:c>
      <x:c r="AD24" s="388" t="str">
        <x:f>IF($A24="","",'Pricing Rules'!$B$9)</x:f>
      </x:c>
      <x:c r="AE24" s="363" t="str">
        <x:f>IF($A24="","",(AA24+AC24)/(1-AB24))</x:f>
      </x:c>
      <x:c r="AF24" s="363"/>
      <x:c r="AG24" s="363" t="str">
        <x:f>IF($A24="","",AA24/(1-AD24))</x:f>
      </x:c>
      <x:c r="AH24" s="363"/>
      <x:c r="AI24" s="363"/>
      <x:c r="AJ24" s="363" t="str">
        <x:f>IF($A24="","",IF(AI24&gt;0,IF(E24="Salla/Zid",AI24*(1-AB24)-AC24-Y24,IF(OR(E24="HungerStation",E24="ToYou",E24="The Chefz"),AI24*(1-AD24)-Y24,AI24-Y24)),""))</x:f>
      </x:c>
      <x:c r="AK24" s="388" t="str">
        <x:f>IF($A24="","",IF(Y24&gt;0,AJ24/Y24,""))</x:f>
      </x:c>
      <x:c r="AL24" s="364"/>
      <x:c r="AM24" s="365"/>
      <x:c r="AN24" s="389"/>
    </x:row>
    <x:row r="25">
      <x:c r="A25" s="361"/>
      <x:c r="B25" s="362"/>
      <x:c r="C25" s="362"/>
      <x:c r="D25" s="362"/>
      <x:c r="E25" s="362"/>
      <x:c r="F25" s="362"/>
      <x:c r="G25" s="362"/>
      <x:c r="H25" s="362"/>
      <x:c r="I25" s="363"/>
      <x:c r="J25" s="362"/>
      <x:c r="K25" s="362"/>
      <x:c r="L25" s="363"/>
      <x:c r="M25" s="362"/>
      <x:c r="N25" s="362"/>
      <x:c r="O25" s="363"/>
      <x:c r="P25" s="362"/>
      <x:c r="Q25" s="362"/>
      <x:c r="R25" s="363"/>
      <x:c r="S25" s="362"/>
      <x:c r="T25" s="362"/>
      <x:c r="U25" s="363"/>
      <x:c r="V25" s="363" t="str">
        <x:f>IF($A25="","",SUM(I25,L25,O25,R25,U25))</x:f>
      </x:c>
      <x:c r="W25" s="363" t="str">
        <x:f>IF($A25="","",'Pricing Rules'!$B$5)</x:f>
      </x:c>
      <x:c r="X25" s="363"/>
      <x:c r="Y25" s="363" t="str">
        <x:f>IF($A25="","",SUM(V25:X25))</x:f>
      </x:c>
      <x:c r="Z25" s="363" t="str">
        <x:f>IF($A25="","",Y25*'Pricing Rules'!$B$6)</x:f>
      </x:c>
      <x:c r="AA25" s="363" t="str">
        <x:f>IF($A25="","",Y25+Z25)</x:f>
      </x:c>
      <x:c r="AB25" s="388" t="str">
        <x:f>IF($A25="","",'Pricing Rules'!$B$7)</x:f>
      </x:c>
      <x:c r="AC25" s="363" t="str">
        <x:f>IF($A25="","",'Pricing Rules'!$B$8)</x:f>
      </x:c>
      <x:c r="AD25" s="388" t="str">
        <x:f>IF($A25="","",'Pricing Rules'!$B$9)</x:f>
      </x:c>
      <x:c r="AE25" s="363" t="str">
        <x:f>IF($A25="","",(AA25+AC25)/(1-AB25))</x:f>
      </x:c>
      <x:c r="AF25" s="363"/>
      <x:c r="AG25" s="363" t="str">
        <x:f>IF($A25="","",AA25/(1-AD25))</x:f>
      </x:c>
      <x:c r="AH25" s="363"/>
      <x:c r="AI25" s="363"/>
      <x:c r="AJ25" s="363" t="str">
        <x:f>IF($A25="","",IF(AI25&gt;0,IF(E25="Salla/Zid",AI25*(1-AB25)-AC25-Y25,IF(OR(E25="HungerStation",E25="ToYou",E25="The Chefz"),AI25*(1-AD25)-Y25,AI25-Y25)),""))</x:f>
      </x:c>
      <x:c r="AK25" s="388" t="str">
        <x:f>IF($A25="","",IF(Y25&gt;0,AJ25/Y25,""))</x:f>
      </x:c>
      <x:c r="AL25" s="364"/>
      <x:c r="AM25" s="365"/>
      <x:c r="AN25" s="389"/>
    </x:row>
    <x:row r="26">
      <x:c r="A26" s="361"/>
      <x:c r="B26" s="362"/>
      <x:c r="C26" s="362"/>
      <x:c r="D26" s="362"/>
      <x:c r="E26" s="362"/>
      <x:c r="F26" s="362"/>
      <x:c r="G26" s="362"/>
      <x:c r="H26" s="362"/>
      <x:c r="I26" s="363"/>
      <x:c r="J26" s="362"/>
      <x:c r="K26" s="362"/>
      <x:c r="L26" s="363"/>
      <x:c r="M26" s="362"/>
      <x:c r="N26" s="362"/>
      <x:c r="O26" s="363"/>
      <x:c r="P26" s="362"/>
      <x:c r="Q26" s="362"/>
      <x:c r="R26" s="363"/>
      <x:c r="S26" s="362"/>
      <x:c r="T26" s="362"/>
      <x:c r="U26" s="363"/>
      <x:c r="V26" s="363" t="str">
        <x:f>IF($A26="","",SUM(I26,L26,O26,R26,U26))</x:f>
      </x:c>
      <x:c r="W26" s="363" t="str">
        <x:f>IF($A26="","",'Pricing Rules'!$B$5)</x:f>
      </x:c>
      <x:c r="X26" s="363"/>
      <x:c r="Y26" s="363" t="str">
        <x:f>IF($A26="","",SUM(V26:X26))</x:f>
      </x:c>
      <x:c r="Z26" s="363" t="str">
        <x:f>IF($A26="","",Y26*'Pricing Rules'!$B$6)</x:f>
      </x:c>
      <x:c r="AA26" s="363" t="str">
        <x:f>IF($A26="","",Y26+Z26)</x:f>
      </x:c>
      <x:c r="AB26" s="388" t="str">
        <x:f>IF($A26="","",'Pricing Rules'!$B$7)</x:f>
      </x:c>
      <x:c r="AC26" s="363" t="str">
        <x:f>IF($A26="","",'Pricing Rules'!$B$8)</x:f>
      </x:c>
      <x:c r="AD26" s="388" t="str">
        <x:f>IF($A26="","",'Pricing Rules'!$B$9)</x:f>
      </x:c>
      <x:c r="AE26" s="363" t="str">
        <x:f>IF($A26="","",(AA26+AC26)/(1-AB26))</x:f>
      </x:c>
      <x:c r="AF26" s="363"/>
      <x:c r="AG26" s="363" t="str">
        <x:f>IF($A26="","",AA26/(1-AD26))</x:f>
      </x:c>
      <x:c r="AH26" s="363"/>
      <x:c r="AI26" s="363"/>
      <x:c r="AJ26" s="363" t="str">
        <x:f>IF($A26="","",IF(AI26&gt;0,IF(E26="Salla/Zid",AI26*(1-AB26)-AC26-Y26,IF(OR(E26="HungerStation",E26="ToYou",E26="The Chefz"),AI26*(1-AD26)-Y26,AI26-Y26)),""))</x:f>
      </x:c>
      <x:c r="AK26" s="388" t="str">
        <x:f>IF($A26="","",IF(Y26&gt;0,AJ26/Y26,""))</x:f>
      </x:c>
      <x:c r="AL26" s="364"/>
      <x:c r="AM26" s="365"/>
      <x:c r="AN26" s="389"/>
    </x:row>
    <x:row r="27">
      <x:c r="A27" s="361"/>
      <x:c r="B27" s="362"/>
      <x:c r="C27" s="362"/>
      <x:c r="D27" s="362"/>
      <x:c r="E27" s="362"/>
      <x:c r="F27" s="362"/>
      <x:c r="G27" s="362"/>
      <x:c r="H27" s="362"/>
      <x:c r="I27" s="363"/>
      <x:c r="J27" s="362"/>
      <x:c r="K27" s="362"/>
      <x:c r="L27" s="363"/>
      <x:c r="M27" s="362"/>
      <x:c r="N27" s="362"/>
      <x:c r="O27" s="363"/>
      <x:c r="P27" s="362"/>
      <x:c r="Q27" s="362"/>
      <x:c r="R27" s="363"/>
      <x:c r="S27" s="362"/>
      <x:c r="T27" s="362"/>
      <x:c r="U27" s="363"/>
      <x:c r="V27" s="363" t="str">
        <x:f>IF($A27="","",SUM(I27,L27,O27,R27,U27))</x:f>
      </x:c>
      <x:c r="W27" s="363" t="str">
        <x:f>IF($A27="","",'Pricing Rules'!$B$5)</x:f>
      </x:c>
      <x:c r="X27" s="363"/>
      <x:c r="Y27" s="363" t="str">
        <x:f>IF($A27="","",SUM(V27:X27))</x:f>
      </x:c>
      <x:c r="Z27" s="363" t="str">
        <x:f>IF($A27="","",Y27*'Pricing Rules'!$B$6)</x:f>
      </x:c>
      <x:c r="AA27" s="363" t="str">
        <x:f>IF($A27="","",Y27+Z27)</x:f>
      </x:c>
      <x:c r="AB27" s="388" t="str">
        <x:f>IF($A27="","",'Pricing Rules'!$B$7)</x:f>
      </x:c>
      <x:c r="AC27" s="363" t="str">
        <x:f>IF($A27="","",'Pricing Rules'!$B$8)</x:f>
      </x:c>
      <x:c r="AD27" s="388" t="str">
        <x:f>IF($A27="","",'Pricing Rules'!$B$9)</x:f>
      </x:c>
      <x:c r="AE27" s="363" t="str">
        <x:f>IF($A27="","",(AA27+AC27)/(1-AB27))</x:f>
      </x:c>
      <x:c r="AF27" s="363"/>
      <x:c r="AG27" s="363" t="str">
        <x:f>IF($A27="","",AA27/(1-AD27))</x:f>
      </x:c>
      <x:c r="AH27" s="363"/>
      <x:c r="AI27" s="363"/>
      <x:c r="AJ27" s="363" t="str">
        <x:f>IF($A27="","",IF(AI27&gt;0,IF(E27="Salla/Zid",AI27*(1-AB27)-AC27-Y27,IF(OR(E27="HungerStation",E27="ToYou",E27="The Chefz"),AI27*(1-AD27)-Y27,AI27-Y27)),""))</x:f>
      </x:c>
      <x:c r="AK27" s="388" t="str">
        <x:f>IF($A27="","",IF(Y27&gt;0,AJ27/Y27,""))</x:f>
      </x:c>
      <x:c r="AL27" s="364"/>
      <x:c r="AM27" s="365"/>
      <x:c r="AN27" s="389"/>
    </x:row>
    <x:row r="28">
      <x:c r="A28" s="361"/>
      <x:c r="B28" s="362"/>
      <x:c r="C28" s="362"/>
      <x:c r="D28" s="362"/>
      <x:c r="E28" s="362"/>
      <x:c r="F28" s="362"/>
      <x:c r="G28" s="362"/>
      <x:c r="H28" s="362"/>
      <x:c r="I28" s="363"/>
      <x:c r="J28" s="362"/>
      <x:c r="K28" s="362"/>
      <x:c r="L28" s="363"/>
      <x:c r="M28" s="362"/>
      <x:c r="N28" s="362"/>
      <x:c r="O28" s="363"/>
      <x:c r="P28" s="362"/>
      <x:c r="Q28" s="362"/>
      <x:c r="R28" s="363"/>
      <x:c r="S28" s="362"/>
      <x:c r="T28" s="362"/>
      <x:c r="U28" s="363"/>
      <x:c r="V28" s="363" t="str">
        <x:f>IF($A28="","",SUM(I28,L28,O28,R28,U28))</x:f>
      </x:c>
      <x:c r="W28" s="363" t="str">
        <x:f>IF($A28="","",'Pricing Rules'!$B$5)</x:f>
      </x:c>
      <x:c r="X28" s="363"/>
      <x:c r="Y28" s="363" t="str">
        <x:f>IF($A28="","",SUM(V28:X28))</x:f>
      </x:c>
      <x:c r="Z28" s="363" t="str">
        <x:f>IF($A28="","",Y28*'Pricing Rules'!$B$6)</x:f>
      </x:c>
      <x:c r="AA28" s="363" t="str">
        <x:f>IF($A28="","",Y28+Z28)</x:f>
      </x:c>
      <x:c r="AB28" s="388" t="str">
        <x:f>IF($A28="","",'Pricing Rules'!$B$7)</x:f>
      </x:c>
      <x:c r="AC28" s="363" t="str">
        <x:f>IF($A28="","",'Pricing Rules'!$B$8)</x:f>
      </x:c>
      <x:c r="AD28" s="388" t="str">
        <x:f>IF($A28="","",'Pricing Rules'!$B$9)</x:f>
      </x:c>
      <x:c r="AE28" s="363" t="str">
        <x:f>IF($A28="","",(AA28+AC28)/(1-AB28))</x:f>
      </x:c>
      <x:c r="AF28" s="363"/>
      <x:c r="AG28" s="363" t="str">
        <x:f>IF($A28="","",AA28/(1-AD28))</x:f>
      </x:c>
      <x:c r="AH28" s="363"/>
      <x:c r="AI28" s="363"/>
      <x:c r="AJ28" s="363" t="str">
        <x:f>IF($A28="","",IF(AI28&gt;0,IF(E28="Salla/Zid",AI28*(1-AB28)-AC28-Y28,IF(OR(E28="HungerStation",E28="ToYou",E28="The Chefz"),AI28*(1-AD28)-Y28,AI28-Y28)),""))</x:f>
      </x:c>
      <x:c r="AK28" s="388" t="str">
        <x:f>IF($A28="","",IF(Y28&gt;0,AJ28/Y28,""))</x:f>
      </x:c>
      <x:c r="AL28" s="364"/>
      <x:c r="AM28" s="365"/>
      <x:c r="AN28" s="389"/>
    </x:row>
    <x:row r="29">
      <x:c r="A29" s="361"/>
      <x:c r="B29" s="362"/>
      <x:c r="C29" s="362"/>
      <x:c r="D29" s="362"/>
      <x:c r="E29" s="362"/>
      <x:c r="F29" s="362"/>
      <x:c r="G29" s="362"/>
      <x:c r="H29" s="362"/>
      <x:c r="I29" s="363"/>
      <x:c r="J29" s="362"/>
      <x:c r="K29" s="362"/>
      <x:c r="L29" s="363"/>
      <x:c r="M29" s="362"/>
      <x:c r="N29" s="362"/>
      <x:c r="O29" s="363"/>
      <x:c r="P29" s="362"/>
      <x:c r="Q29" s="362"/>
      <x:c r="R29" s="363"/>
      <x:c r="S29" s="362"/>
      <x:c r="T29" s="362"/>
      <x:c r="U29" s="363"/>
      <x:c r="V29" s="363" t="str">
        <x:f>IF($A29="","",SUM(I29,L29,O29,R29,U29))</x:f>
      </x:c>
      <x:c r="W29" s="363" t="str">
        <x:f>IF($A29="","",'Pricing Rules'!$B$5)</x:f>
      </x:c>
      <x:c r="X29" s="363"/>
      <x:c r="Y29" s="363" t="str">
        <x:f>IF($A29="","",SUM(V29:X29))</x:f>
      </x:c>
      <x:c r="Z29" s="363" t="str">
        <x:f>IF($A29="","",Y29*'Pricing Rules'!$B$6)</x:f>
      </x:c>
      <x:c r="AA29" s="363" t="str">
        <x:f>IF($A29="","",Y29+Z29)</x:f>
      </x:c>
      <x:c r="AB29" s="388" t="str">
        <x:f>IF($A29="","",'Pricing Rules'!$B$7)</x:f>
      </x:c>
      <x:c r="AC29" s="363" t="str">
        <x:f>IF($A29="","",'Pricing Rules'!$B$8)</x:f>
      </x:c>
      <x:c r="AD29" s="388" t="str">
        <x:f>IF($A29="","",'Pricing Rules'!$B$9)</x:f>
      </x:c>
      <x:c r="AE29" s="363" t="str">
        <x:f>IF($A29="","",(AA29+AC29)/(1-AB29))</x:f>
      </x:c>
      <x:c r="AF29" s="363"/>
      <x:c r="AG29" s="363" t="str">
        <x:f>IF($A29="","",AA29/(1-AD29))</x:f>
      </x:c>
      <x:c r="AH29" s="363"/>
      <x:c r="AI29" s="363"/>
      <x:c r="AJ29" s="363" t="str">
        <x:f>IF($A29="","",IF(AI29&gt;0,IF(E29="Salla/Zid",AI29*(1-AB29)-AC29-Y29,IF(OR(E29="HungerStation",E29="ToYou",E29="The Chefz"),AI29*(1-AD29)-Y29,AI29-Y29)),""))</x:f>
      </x:c>
      <x:c r="AK29" s="388" t="str">
        <x:f>IF($A29="","",IF(Y29&gt;0,AJ29/Y29,""))</x:f>
      </x:c>
      <x:c r="AL29" s="364"/>
      <x:c r="AM29" s="365"/>
      <x:c r="AN29" s="389"/>
    </x:row>
    <x:row r="30">
      <x:c r="A30" s="361"/>
      <x:c r="B30" s="362"/>
      <x:c r="C30" s="362"/>
      <x:c r="D30" s="362"/>
      <x:c r="E30" s="362"/>
      <x:c r="F30" s="362"/>
      <x:c r="G30" s="362"/>
      <x:c r="H30" s="362"/>
      <x:c r="I30" s="363"/>
      <x:c r="J30" s="362"/>
      <x:c r="K30" s="362"/>
      <x:c r="L30" s="363"/>
      <x:c r="M30" s="362"/>
      <x:c r="N30" s="362"/>
      <x:c r="O30" s="363"/>
      <x:c r="P30" s="362"/>
      <x:c r="Q30" s="362"/>
      <x:c r="R30" s="363"/>
      <x:c r="S30" s="362"/>
      <x:c r="T30" s="362"/>
      <x:c r="U30" s="363"/>
      <x:c r="V30" s="363" t="str">
        <x:f>IF($A30="","",SUM(I30,L30,O30,R30,U30))</x:f>
      </x:c>
      <x:c r="W30" s="363" t="str">
        <x:f>IF($A30="","",'Pricing Rules'!$B$5)</x:f>
      </x:c>
      <x:c r="X30" s="363"/>
      <x:c r="Y30" s="363" t="str">
        <x:f>IF($A30="","",SUM(V30:X30))</x:f>
      </x:c>
      <x:c r="Z30" s="363" t="str">
        <x:f>IF($A30="","",Y30*'Pricing Rules'!$B$6)</x:f>
      </x:c>
      <x:c r="AA30" s="363" t="str">
        <x:f>IF($A30="","",Y30+Z30)</x:f>
      </x:c>
      <x:c r="AB30" s="388" t="str">
        <x:f>IF($A30="","",'Pricing Rules'!$B$7)</x:f>
      </x:c>
      <x:c r="AC30" s="363" t="str">
        <x:f>IF($A30="","",'Pricing Rules'!$B$8)</x:f>
      </x:c>
      <x:c r="AD30" s="388" t="str">
        <x:f>IF($A30="","",'Pricing Rules'!$B$9)</x:f>
      </x:c>
      <x:c r="AE30" s="363" t="str">
        <x:f>IF($A30="","",(AA30+AC30)/(1-AB30))</x:f>
      </x:c>
      <x:c r="AF30" s="363"/>
      <x:c r="AG30" s="363" t="str">
        <x:f>IF($A30="","",AA30/(1-AD30))</x:f>
      </x:c>
      <x:c r="AH30" s="363"/>
      <x:c r="AI30" s="363"/>
      <x:c r="AJ30" s="363" t="str">
        <x:f>IF($A30="","",IF(AI30&gt;0,IF(E30="Salla/Zid",AI30*(1-AB30)-AC30-Y30,IF(OR(E30="HungerStation",E30="ToYou",E30="The Chefz"),AI30*(1-AD30)-Y30,AI30-Y30)),""))</x:f>
      </x:c>
      <x:c r="AK30" s="388" t="str">
        <x:f>IF($A30="","",IF(Y30&gt;0,AJ30/Y30,""))</x:f>
      </x:c>
      <x:c r="AL30" s="364"/>
      <x:c r="AM30" s="365"/>
      <x:c r="AN30" s="389"/>
    </x:row>
    <x:row r="31">
      <x:c r="A31" s="361"/>
      <x:c r="B31" s="362"/>
      <x:c r="C31" s="362"/>
      <x:c r="D31" s="362"/>
      <x:c r="E31" s="362"/>
      <x:c r="F31" s="362"/>
      <x:c r="G31" s="362"/>
      <x:c r="H31" s="362"/>
      <x:c r="I31" s="363"/>
      <x:c r="J31" s="362"/>
      <x:c r="K31" s="362"/>
      <x:c r="L31" s="363"/>
      <x:c r="M31" s="362"/>
      <x:c r="N31" s="362"/>
      <x:c r="O31" s="363"/>
      <x:c r="P31" s="362"/>
      <x:c r="Q31" s="362"/>
      <x:c r="R31" s="363"/>
      <x:c r="S31" s="362"/>
      <x:c r="T31" s="362"/>
      <x:c r="U31" s="363"/>
      <x:c r="V31" s="363" t="str">
        <x:f>IF($A31="","",SUM(I31,L31,O31,R31,U31))</x:f>
      </x:c>
      <x:c r="W31" s="363" t="str">
        <x:f>IF($A31="","",'Pricing Rules'!$B$5)</x:f>
      </x:c>
      <x:c r="X31" s="363"/>
      <x:c r="Y31" s="363" t="str">
        <x:f>IF($A31="","",SUM(V31:X31))</x:f>
      </x:c>
      <x:c r="Z31" s="363" t="str">
        <x:f>IF($A31="","",Y31*'Pricing Rules'!$B$6)</x:f>
      </x:c>
      <x:c r="AA31" s="363" t="str">
        <x:f>IF($A31="","",Y31+Z31)</x:f>
      </x:c>
      <x:c r="AB31" s="388" t="str">
        <x:f>IF($A31="","",'Pricing Rules'!$B$7)</x:f>
      </x:c>
      <x:c r="AC31" s="363" t="str">
        <x:f>IF($A31="","",'Pricing Rules'!$B$8)</x:f>
      </x:c>
      <x:c r="AD31" s="388" t="str">
        <x:f>IF($A31="","",'Pricing Rules'!$B$9)</x:f>
      </x:c>
      <x:c r="AE31" s="363" t="str">
        <x:f>IF($A31="","",(AA31+AC31)/(1-AB31))</x:f>
      </x:c>
      <x:c r="AF31" s="363"/>
      <x:c r="AG31" s="363" t="str">
        <x:f>IF($A31="","",AA31/(1-AD31))</x:f>
      </x:c>
      <x:c r="AH31" s="363"/>
      <x:c r="AI31" s="363"/>
      <x:c r="AJ31" s="363" t="str">
        <x:f>IF($A31="","",IF(AI31&gt;0,IF(E31="Salla/Zid",AI31*(1-AB31)-AC31-Y31,IF(OR(E31="HungerStation",E31="ToYou",E31="The Chefz"),AI31*(1-AD31)-Y31,AI31-Y31)),""))</x:f>
      </x:c>
      <x:c r="AK31" s="388" t="str">
        <x:f>IF($A31="","",IF(Y31&gt;0,AJ31/Y31,""))</x:f>
      </x:c>
      <x:c r="AL31" s="364"/>
      <x:c r="AM31" s="365"/>
      <x:c r="AN31" s="389"/>
    </x:row>
    <x:row r="32">
      <x:c r="A32" s="361"/>
      <x:c r="B32" s="362"/>
      <x:c r="C32" s="362"/>
      <x:c r="D32" s="362"/>
      <x:c r="E32" s="362"/>
      <x:c r="F32" s="362"/>
      <x:c r="G32" s="362"/>
      <x:c r="H32" s="362"/>
      <x:c r="I32" s="363"/>
      <x:c r="J32" s="362"/>
      <x:c r="K32" s="362"/>
      <x:c r="L32" s="363"/>
      <x:c r="M32" s="362"/>
      <x:c r="N32" s="362"/>
      <x:c r="O32" s="363"/>
      <x:c r="P32" s="362"/>
      <x:c r="Q32" s="362"/>
      <x:c r="R32" s="363"/>
      <x:c r="S32" s="362"/>
      <x:c r="T32" s="362"/>
      <x:c r="U32" s="363"/>
      <x:c r="V32" s="363" t="str">
        <x:f>IF($A32="","",SUM(I32,L32,O32,R32,U32))</x:f>
      </x:c>
      <x:c r="W32" s="363" t="str">
        <x:f>IF($A32="","",'Pricing Rules'!$B$5)</x:f>
      </x:c>
      <x:c r="X32" s="363"/>
      <x:c r="Y32" s="363" t="str">
        <x:f>IF($A32="","",SUM(V32:X32))</x:f>
      </x:c>
      <x:c r="Z32" s="363" t="str">
        <x:f>IF($A32="","",Y32*'Pricing Rules'!$B$6)</x:f>
      </x:c>
      <x:c r="AA32" s="363" t="str">
        <x:f>IF($A32="","",Y32+Z32)</x:f>
      </x:c>
      <x:c r="AB32" s="388" t="str">
        <x:f>IF($A32="","",'Pricing Rules'!$B$7)</x:f>
      </x:c>
      <x:c r="AC32" s="363" t="str">
        <x:f>IF($A32="","",'Pricing Rules'!$B$8)</x:f>
      </x:c>
      <x:c r="AD32" s="388" t="str">
        <x:f>IF($A32="","",'Pricing Rules'!$B$9)</x:f>
      </x:c>
      <x:c r="AE32" s="363" t="str">
        <x:f>IF($A32="","",(AA32+AC32)/(1-AB32))</x:f>
      </x:c>
      <x:c r="AF32" s="363"/>
      <x:c r="AG32" s="363" t="str">
        <x:f>IF($A32="","",AA32/(1-AD32))</x:f>
      </x:c>
      <x:c r="AH32" s="363"/>
      <x:c r="AI32" s="363"/>
      <x:c r="AJ32" s="363" t="str">
        <x:f>IF($A32="","",IF(AI32&gt;0,IF(E32="Salla/Zid",AI32*(1-AB32)-AC32-Y32,IF(OR(E32="HungerStation",E32="ToYou",E32="The Chefz"),AI32*(1-AD32)-Y32,AI32-Y32)),""))</x:f>
      </x:c>
      <x:c r="AK32" s="388" t="str">
        <x:f>IF($A32="","",IF(Y32&gt;0,AJ32/Y32,""))</x:f>
      </x:c>
      <x:c r="AL32" s="364"/>
      <x:c r="AM32" s="365"/>
      <x:c r="AN32" s="389"/>
    </x:row>
    <x:row r="33">
      <x:c r="A33" s="361"/>
      <x:c r="B33" s="362"/>
      <x:c r="C33" s="362"/>
      <x:c r="D33" s="362"/>
      <x:c r="E33" s="362"/>
      <x:c r="F33" s="362"/>
      <x:c r="G33" s="362"/>
      <x:c r="H33" s="362"/>
      <x:c r="I33" s="363"/>
      <x:c r="J33" s="362"/>
      <x:c r="K33" s="362"/>
      <x:c r="L33" s="363"/>
      <x:c r="M33" s="362"/>
      <x:c r="N33" s="362"/>
      <x:c r="O33" s="363"/>
      <x:c r="P33" s="362"/>
      <x:c r="Q33" s="362"/>
      <x:c r="R33" s="363"/>
      <x:c r="S33" s="362"/>
      <x:c r="T33" s="362"/>
      <x:c r="U33" s="363"/>
      <x:c r="V33" s="363" t="str">
        <x:f>IF($A33="","",SUM(I33,L33,O33,R33,U33))</x:f>
      </x:c>
      <x:c r="W33" s="363" t="str">
        <x:f>IF($A33="","",'Pricing Rules'!$B$5)</x:f>
      </x:c>
      <x:c r="X33" s="363"/>
      <x:c r="Y33" s="363" t="str">
        <x:f>IF($A33="","",SUM(V33:X33))</x:f>
      </x:c>
      <x:c r="Z33" s="363" t="str">
        <x:f>IF($A33="","",Y33*'Pricing Rules'!$B$6)</x:f>
      </x:c>
      <x:c r="AA33" s="363" t="str">
        <x:f>IF($A33="","",Y33+Z33)</x:f>
      </x:c>
      <x:c r="AB33" s="388" t="str">
        <x:f>IF($A33="","",'Pricing Rules'!$B$7)</x:f>
      </x:c>
      <x:c r="AC33" s="363" t="str">
        <x:f>IF($A33="","",'Pricing Rules'!$B$8)</x:f>
      </x:c>
      <x:c r="AD33" s="388" t="str">
        <x:f>IF($A33="","",'Pricing Rules'!$B$9)</x:f>
      </x:c>
      <x:c r="AE33" s="363" t="str">
        <x:f>IF($A33="","",(AA33+AC33)/(1-AB33))</x:f>
      </x:c>
      <x:c r="AF33" s="363"/>
      <x:c r="AG33" s="363" t="str">
        <x:f>IF($A33="","",AA33/(1-AD33))</x:f>
      </x:c>
      <x:c r="AH33" s="363"/>
      <x:c r="AI33" s="363"/>
      <x:c r="AJ33" s="363" t="str">
        <x:f>IF($A33="","",IF(AI33&gt;0,IF(E33="Salla/Zid",AI33*(1-AB33)-AC33-Y33,IF(OR(E33="HungerStation",E33="ToYou",E33="The Chefz"),AI33*(1-AD33)-Y33,AI33-Y33)),""))</x:f>
      </x:c>
      <x:c r="AK33" s="388" t="str">
        <x:f>IF($A33="","",IF(Y33&gt;0,AJ33/Y33,""))</x:f>
      </x:c>
      <x:c r="AL33" s="364"/>
      <x:c r="AM33" s="365"/>
      <x:c r="AN33" s="389"/>
    </x:row>
    <x:row r="34">
      <x:c r="A34" s="361"/>
      <x:c r="B34" s="362"/>
      <x:c r="C34" s="362"/>
      <x:c r="D34" s="362"/>
      <x:c r="E34" s="362"/>
      <x:c r="F34" s="362"/>
      <x:c r="G34" s="362"/>
      <x:c r="H34" s="362"/>
      <x:c r="I34" s="363"/>
      <x:c r="J34" s="362"/>
      <x:c r="K34" s="362"/>
      <x:c r="L34" s="363"/>
      <x:c r="M34" s="362"/>
      <x:c r="N34" s="362"/>
      <x:c r="O34" s="363"/>
      <x:c r="P34" s="362"/>
      <x:c r="Q34" s="362"/>
      <x:c r="R34" s="363"/>
      <x:c r="S34" s="362"/>
      <x:c r="T34" s="362"/>
      <x:c r="U34" s="363"/>
      <x:c r="V34" s="363" t="str">
        <x:f>IF($A34="","",SUM(I34,L34,O34,R34,U34))</x:f>
      </x:c>
      <x:c r="W34" s="363" t="str">
        <x:f>IF($A34="","",'Pricing Rules'!$B$5)</x:f>
      </x:c>
      <x:c r="X34" s="363"/>
      <x:c r="Y34" s="363" t="str">
        <x:f>IF($A34="","",SUM(V34:X34))</x:f>
      </x:c>
      <x:c r="Z34" s="363" t="str">
        <x:f>IF($A34="","",Y34*'Pricing Rules'!$B$6)</x:f>
      </x:c>
      <x:c r="AA34" s="363" t="str">
        <x:f>IF($A34="","",Y34+Z34)</x:f>
      </x:c>
      <x:c r="AB34" s="388" t="str">
        <x:f>IF($A34="","",'Pricing Rules'!$B$7)</x:f>
      </x:c>
      <x:c r="AC34" s="363" t="str">
        <x:f>IF($A34="","",'Pricing Rules'!$B$8)</x:f>
      </x:c>
      <x:c r="AD34" s="388" t="str">
        <x:f>IF($A34="","",'Pricing Rules'!$B$9)</x:f>
      </x:c>
      <x:c r="AE34" s="363" t="str">
        <x:f>IF($A34="","",(AA34+AC34)/(1-AB34))</x:f>
      </x:c>
      <x:c r="AF34" s="363"/>
      <x:c r="AG34" s="363" t="str">
        <x:f>IF($A34="","",AA34/(1-AD34))</x:f>
      </x:c>
      <x:c r="AH34" s="363"/>
      <x:c r="AI34" s="363"/>
      <x:c r="AJ34" s="363" t="str">
        <x:f>IF($A34="","",IF(AI34&gt;0,IF(E34="Salla/Zid",AI34*(1-AB34)-AC34-Y34,IF(OR(E34="HungerStation",E34="ToYou",E34="The Chefz"),AI34*(1-AD34)-Y34,AI34-Y34)),""))</x:f>
      </x:c>
      <x:c r="AK34" s="388" t="str">
        <x:f>IF($A34="","",IF(Y34&gt;0,AJ34/Y34,""))</x:f>
      </x:c>
      <x:c r="AL34" s="364"/>
      <x:c r="AM34" s="365"/>
      <x:c r="AN34" s="389"/>
    </x:row>
    <x:row r="35">
      <x:c r="A35" s="361"/>
      <x:c r="B35" s="362"/>
      <x:c r="C35" s="362"/>
      <x:c r="D35" s="362"/>
      <x:c r="E35" s="362"/>
      <x:c r="F35" s="362"/>
      <x:c r="G35" s="362"/>
      <x:c r="H35" s="362"/>
      <x:c r="I35" s="363"/>
      <x:c r="J35" s="362"/>
      <x:c r="K35" s="362"/>
      <x:c r="L35" s="363"/>
      <x:c r="M35" s="362"/>
      <x:c r="N35" s="362"/>
      <x:c r="O35" s="363"/>
      <x:c r="P35" s="362"/>
      <x:c r="Q35" s="362"/>
      <x:c r="R35" s="363"/>
      <x:c r="S35" s="362"/>
      <x:c r="T35" s="362"/>
      <x:c r="U35" s="363"/>
      <x:c r="V35" s="363" t="str">
        <x:f>IF($A35="","",SUM(I35,L35,O35,R35,U35))</x:f>
      </x:c>
      <x:c r="W35" s="363" t="str">
        <x:f>IF($A35="","",'Pricing Rules'!$B$5)</x:f>
      </x:c>
      <x:c r="X35" s="363"/>
      <x:c r="Y35" s="363" t="str">
        <x:f>IF($A35="","",SUM(V35:X35))</x:f>
      </x:c>
      <x:c r="Z35" s="363" t="str">
        <x:f>IF($A35="","",Y35*'Pricing Rules'!$B$6)</x:f>
      </x:c>
      <x:c r="AA35" s="363" t="str">
        <x:f>IF($A35="","",Y35+Z35)</x:f>
      </x:c>
      <x:c r="AB35" s="388" t="str">
        <x:f>IF($A35="","",'Pricing Rules'!$B$7)</x:f>
      </x:c>
      <x:c r="AC35" s="363" t="str">
        <x:f>IF($A35="","",'Pricing Rules'!$B$8)</x:f>
      </x:c>
      <x:c r="AD35" s="388" t="str">
        <x:f>IF($A35="","",'Pricing Rules'!$B$9)</x:f>
      </x:c>
      <x:c r="AE35" s="363" t="str">
        <x:f>IF($A35="","",(AA35+AC35)/(1-AB35))</x:f>
      </x:c>
      <x:c r="AF35" s="363"/>
      <x:c r="AG35" s="363" t="str">
        <x:f>IF($A35="","",AA35/(1-AD35))</x:f>
      </x:c>
      <x:c r="AH35" s="363"/>
      <x:c r="AI35" s="363"/>
      <x:c r="AJ35" s="363" t="str">
        <x:f>IF($A35="","",IF(AI35&gt;0,IF(E35="Salla/Zid",AI35*(1-AB35)-AC35-Y35,IF(OR(E35="HungerStation",E35="ToYou",E35="The Chefz"),AI35*(1-AD35)-Y35,AI35-Y35)),""))</x:f>
      </x:c>
      <x:c r="AK35" s="388" t="str">
        <x:f>IF($A35="","",IF(Y35&gt;0,AJ35/Y35,""))</x:f>
      </x:c>
      <x:c r="AL35" s="364"/>
      <x:c r="AM35" s="365"/>
      <x:c r="AN35" s="389"/>
    </x:row>
    <x:row r="36">
      <x:c r="A36" s="361"/>
      <x:c r="B36" s="362"/>
      <x:c r="C36" s="362"/>
      <x:c r="D36" s="362"/>
      <x:c r="E36" s="362"/>
      <x:c r="F36" s="362"/>
      <x:c r="G36" s="362"/>
      <x:c r="H36" s="362"/>
      <x:c r="I36" s="363"/>
      <x:c r="J36" s="362"/>
      <x:c r="K36" s="362"/>
      <x:c r="L36" s="363"/>
      <x:c r="M36" s="362"/>
      <x:c r="N36" s="362"/>
      <x:c r="O36" s="363"/>
      <x:c r="P36" s="362"/>
      <x:c r="Q36" s="362"/>
      <x:c r="R36" s="363"/>
      <x:c r="S36" s="362"/>
      <x:c r="T36" s="362"/>
      <x:c r="U36" s="363"/>
      <x:c r="V36" s="363" t="str">
        <x:f>IF($A36="","",SUM(I36,L36,O36,R36,U36))</x:f>
      </x:c>
      <x:c r="W36" s="363" t="str">
        <x:f>IF($A36="","",'Pricing Rules'!$B$5)</x:f>
      </x:c>
      <x:c r="X36" s="363"/>
      <x:c r="Y36" s="363" t="str">
        <x:f>IF($A36="","",SUM(V36:X36))</x:f>
      </x:c>
      <x:c r="Z36" s="363" t="str">
        <x:f>IF($A36="","",Y36*'Pricing Rules'!$B$6)</x:f>
      </x:c>
      <x:c r="AA36" s="363" t="str">
        <x:f>IF($A36="","",Y36+Z36)</x:f>
      </x:c>
      <x:c r="AB36" s="388" t="str">
        <x:f>IF($A36="","",'Pricing Rules'!$B$7)</x:f>
      </x:c>
      <x:c r="AC36" s="363" t="str">
        <x:f>IF($A36="","",'Pricing Rules'!$B$8)</x:f>
      </x:c>
      <x:c r="AD36" s="388" t="str">
        <x:f>IF($A36="","",'Pricing Rules'!$B$9)</x:f>
      </x:c>
      <x:c r="AE36" s="363" t="str">
        <x:f>IF($A36="","",(AA36+AC36)/(1-AB36))</x:f>
      </x:c>
      <x:c r="AF36" s="363"/>
      <x:c r="AG36" s="363" t="str">
        <x:f>IF($A36="","",AA36/(1-AD36))</x:f>
      </x:c>
      <x:c r="AH36" s="363"/>
      <x:c r="AI36" s="363"/>
      <x:c r="AJ36" s="363" t="str">
        <x:f>IF($A36="","",IF(AI36&gt;0,IF(E36="Salla/Zid",AI36*(1-AB36)-AC36-Y36,IF(OR(E36="HungerStation",E36="ToYou",E36="The Chefz"),AI36*(1-AD36)-Y36,AI36-Y36)),""))</x:f>
      </x:c>
      <x:c r="AK36" s="388" t="str">
        <x:f>IF($A36="","",IF(Y36&gt;0,AJ36/Y36,""))</x:f>
      </x:c>
      <x:c r="AL36" s="364"/>
      <x:c r="AM36" s="365"/>
      <x:c r="AN36" s="389"/>
    </x:row>
    <x:row r="37">
      <x:c r="A37" s="361"/>
      <x:c r="B37" s="362"/>
      <x:c r="C37" s="362"/>
      <x:c r="D37" s="362"/>
      <x:c r="E37" s="362"/>
      <x:c r="F37" s="362"/>
      <x:c r="G37" s="362"/>
      <x:c r="H37" s="362"/>
      <x:c r="I37" s="363"/>
      <x:c r="J37" s="362"/>
      <x:c r="K37" s="362"/>
      <x:c r="L37" s="363"/>
      <x:c r="M37" s="362"/>
      <x:c r="N37" s="362"/>
      <x:c r="O37" s="363"/>
      <x:c r="P37" s="362"/>
      <x:c r="Q37" s="362"/>
      <x:c r="R37" s="363"/>
      <x:c r="S37" s="362"/>
      <x:c r="T37" s="362"/>
      <x:c r="U37" s="363"/>
      <x:c r="V37" s="363" t="str">
        <x:f>IF($A37="","",SUM(I37,L37,O37,R37,U37))</x:f>
      </x:c>
      <x:c r="W37" s="363" t="str">
        <x:f>IF($A37="","",'Pricing Rules'!$B$5)</x:f>
      </x:c>
      <x:c r="X37" s="363"/>
      <x:c r="Y37" s="363" t="str">
        <x:f>IF($A37="","",SUM(V37:X37))</x:f>
      </x:c>
      <x:c r="Z37" s="363" t="str">
        <x:f>IF($A37="","",Y37*'Pricing Rules'!$B$6)</x:f>
      </x:c>
      <x:c r="AA37" s="363" t="str">
        <x:f>IF($A37="","",Y37+Z37)</x:f>
      </x:c>
      <x:c r="AB37" s="388" t="str">
        <x:f>IF($A37="","",'Pricing Rules'!$B$7)</x:f>
      </x:c>
      <x:c r="AC37" s="363" t="str">
        <x:f>IF($A37="","",'Pricing Rules'!$B$8)</x:f>
      </x:c>
      <x:c r="AD37" s="388" t="str">
        <x:f>IF($A37="","",'Pricing Rules'!$B$9)</x:f>
      </x:c>
      <x:c r="AE37" s="363" t="str">
        <x:f>IF($A37="","",(AA37+AC37)/(1-AB37))</x:f>
      </x:c>
      <x:c r="AF37" s="363"/>
      <x:c r="AG37" s="363" t="str">
        <x:f>IF($A37="","",AA37/(1-AD37))</x:f>
      </x:c>
      <x:c r="AH37" s="363"/>
      <x:c r="AI37" s="363"/>
      <x:c r="AJ37" s="363" t="str">
        <x:f>IF($A37="","",IF(AI37&gt;0,IF(E37="Salla/Zid",AI37*(1-AB37)-AC37-Y37,IF(OR(E37="HungerStation",E37="ToYou",E37="The Chefz"),AI37*(1-AD37)-Y37,AI37-Y37)),""))</x:f>
      </x:c>
      <x:c r="AK37" s="388" t="str">
        <x:f>IF($A37="","",IF(Y37&gt;0,AJ37/Y37,""))</x:f>
      </x:c>
      <x:c r="AL37" s="364"/>
      <x:c r="AM37" s="365"/>
      <x:c r="AN37" s="389"/>
    </x:row>
    <x:row r="38">
      <x:c r="A38" s="361"/>
      <x:c r="B38" s="362"/>
      <x:c r="C38" s="362"/>
      <x:c r="D38" s="362"/>
      <x:c r="E38" s="362"/>
      <x:c r="F38" s="362"/>
      <x:c r="G38" s="362"/>
      <x:c r="H38" s="362"/>
      <x:c r="I38" s="363"/>
      <x:c r="J38" s="362"/>
      <x:c r="K38" s="362"/>
      <x:c r="L38" s="363"/>
      <x:c r="M38" s="362"/>
      <x:c r="N38" s="362"/>
      <x:c r="O38" s="363"/>
      <x:c r="P38" s="362"/>
      <x:c r="Q38" s="362"/>
      <x:c r="R38" s="363"/>
      <x:c r="S38" s="362"/>
      <x:c r="T38" s="362"/>
      <x:c r="U38" s="363"/>
      <x:c r="V38" s="363" t="str">
        <x:f>IF($A38="","",SUM(I38,L38,O38,R38,U38))</x:f>
      </x:c>
      <x:c r="W38" s="363" t="str">
        <x:f>IF($A38="","",'Pricing Rules'!$B$5)</x:f>
      </x:c>
      <x:c r="X38" s="363"/>
      <x:c r="Y38" s="363" t="str">
        <x:f>IF($A38="","",SUM(V38:X38))</x:f>
      </x:c>
      <x:c r="Z38" s="363" t="str">
        <x:f>IF($A38="","",Y38*'Pricing Rules'!$B$6)</x:f>
      </x:c>
      <x:c r="AA38" s="363" t="str">
        <x:f>IF($A38="","",Y38+Z38)</x:f>
      </x:c>
      <x:c r="AB38" s="388" t="str">
        <x:f>IF($A38="","",'Pricing Rules'!$B$7)</x:f>
      </x:c>
      <x:c r="AC38" s="363" t="str">
        <x:f>IF($A38="","",'Pricing Rules'!$B$8)</x:f>
      </x:c>
      <x:c r="AD38" s="388" t="str">
        <x:f>IF($A38="","",'Pricing Rules'!$B$9)</x:f>
      </x:c>
      <x:c r="AE38" s="363" t="str">
        <x:f>IF($A38="","",(AA38+AC38)/(1-AB38))</x:f>
      </x:c>
      <x:c r="AF38" s="363"/>
      <x:c r="AG38" s="363" t="str">
        <x:f>IF($A38="","",AA38/(1-AD38))</x:f>
      </x:c>
      <x:c r="AH38" s="363"/>
      <x:c r="AI38" s="363"/>
      <x:c r="AJ38" s="363" t="str">
        <x:f>IF($A38="","",IF(AI38&gt;0,IF(E38="Salla/Zid",AI38*(1-AB38)-AC38-Y38,IF(OR(E38="HungerStation",E38="ToYou",E38="The Chefz"),AI38*(1-AD38)-Y38,AI38-Y38)),""))</x:f>
      </x:c>
      <x:c r="AK38" s="388" t="str">
        <x:f>IF($A38="","",IF(Y38&gt;0,AJ38/Y38,""))</x:f>
      </x:c>
      <x:c r="AL38" s="364"/>
      <x:c r="AM38" s="365"/>
      <x:c r="AN38" s="389"/>
    </x:row>
    <x:row r="39">
      <x:c r="A39" s="361"/>
      <x:c r="B39" s="362"/>
      <x:c r="C39" s="362"/>
      <x:c r="D39" s="362"/>
      <x:c r="E39" s="362"/>
      <x:c r="F39" s="362"/>
      <x:c r="G39" s="362"/>
      <x:c r="H39" s="362"/>
      <x:c r="I39" s="363"/>
      <x:c r="J39" s="362"/>
      <x:c r="K39" s="362"/>
      <x:c r="L39" s="363"/>
      <x:c r="M39" s="362"/>
      <x:c r="N39" s="362"/>
      <x:c r="O39" s="363"/>
      <x:c r="P39" s="362"/>
      <x:c r="Q39" s="362"/>
      <x:c r="R39" s="363"/>
      <x:c r="S39" s="362"/>
      <x:c r="T39" s="362"/>
      <x:c r="U39" s="363"/>
      <x:c r="V39" s="363" t="str">
        <x:f>IF($A39="","",SUM(I39,L39,O39,R39,U39))</x:f>
      </x:c>
      <x:c r="W39" s="363" t="str">
        <x:f>IF($A39="","",'Pricing Rules'!$B$5)</x:f>
      </x:c>
      <x:c r="X39" s="363"/>
      <x:c r="Y39" s="363" t="str">
        <x:f>IF($A39="","",SUM(V39:X39))</x:f>
      </x:c>
      <x:c r="Z39" s="363" t="str">
        <x:f>IF($A39="","",Y39*'Pricing Rules'!$B$6)</x:f>
      </x:c>
      <x:c r="AA39" s="363" t="str">
        <x:f>IF($A39="","",Y39+Z39)</x:f>
      </x:c>
      <x:c r="AB39" s="388" t="str">
        <x:f>IF($A39="","",'Pricing Rules'!$B$7)</x:f>
      </x:c>
      <x:c r="AC39" s="363" t="str">
        <x:f>IF($A39="","",'Pricing Rules'!$B$8)</x:f>
      </x:c>
      <x:c r="AD39" s="388" t="str">
        <x:f>IF($A39="","",'Pricing Rules'!$B$9)</x:f>
      </x:c>
      <x:c r="AE39" s="363" t="str">
        <x:f>IF($A39="","",(AA39+AC39)/(1-AB39))</x:f>
      </x:c>
      <x:c r="AF39" s="363"/>
      <x:c r="AG39" s="363" t="str">
        <x:f>IF($A39="","",AA39/(1-AD39))</x:f>
      </x:c>
      <x:c r="AH39" s="363"/>
      <x:c r="AI39" s="363"/>
      <x:c r="AJ39" s="363" t="str">
        <x:f>IF($A39="","",IF(AI39&gt;0,IF(E39="Salla/Zid",AI39*(1-AB39)-AC39-Y39,IF(OR(E39="HungerStation",E39="ToYou",E39="The Chefz"),AI39*(1-AD39)-Y39,AI39-Y39)),""))</x:f>
      </x:c>
      <x:c r="AK39" s="388" t="str">
        <x:f>IF($A39="","",IF(Y39&gt;0,AJ39/Y39,""))</x:f>
      </x:c>
      <x:c r="AL39" s="364"/>
      <x:c r="AM39" s="365"/>
      <x:c r="AN39" s="389"/>
    </x:row>
    <x:row r="40">
      <x:c r="A40" s="361"/>
      <x:c r="B40" s="362"/>
      <x:c r="C40" s="362"/>
      <x:c r="D40" s="362"/>
      <x:c r="E40" s="362"/>
      <x:c r="F40" s="362"/>
      <x:c r="G40" s="362"/>
      <x:c r="H40" s="362"/>
      <x:c r="I40" s="363"/>
      <x:c r="J40" s="362"/>
      <x:c r="K40" s="362"/>
      <x:c r="L40" s="363"/>
      <x:c r="M40" s="362"/>
      <x:c r="N40" s="362"/>
      <x:c r="O40" s="363"/>
      <x:c r="P40" s="362"/>
      <x:c r="Q40" s="362"/>
      <x:c r="R40" s="363"/>
      <x:c r="S40" s="362"/>
      <x:c r="T40" s="362"/>
      <x:c r="U40" s="363"/>
      <x:c r="V40" s="363" t="str">
        <x:f>IF($A40="","",SUM(I40,L40,O40,R40,U40))</x:f>
      </x:c>
      <x:c r="W40" s="363" t="str">
        <x:f>IF($A40="","",'Pricing Rules'!$B$5)</x:f>
      </x:c>
      <x:c r="X40" s="363"/>
      <x:c r="Y40" s="363" t="str">
        <x:f>IF($A40="","",SUM(V40:X40))</x:f>
      </x:c>
      <x:c r="Z40" s="363" t="str">
        <x:f>IF($A40="","",Y40*'Pricing Rules'!$B$6)</x:f>
      </x:c>
      <x:c r="AA40" s="363" t="str">
        <x:f>IF($A40="","",Y40+Z40)</x:f>
      </x:c>
      <x:c r="AB40" s="388" t="str">
        <x:f>IF($A40="","",'Pricing Rules'!$B$7)</x:f>
      </x:c>
      <x:c r="AC40" s="363" t="str">
        <x:f>IF($A40="","",'Pricing Rules'!$B$8)</x:f>
      </x:c>
      <x:c r="AD40" s="388" t="str">
        <x:f>IF($A40="","",'Pricing Rules'!$B$9)</x:f>
      </x:c>
      <x:c r="AE40" s="363" t="str">
        <x:f>IF($A40="","",(AA40+AC40)/(1-AB40))</x:f>
      </x:c>
      <x:c r="AF40" s="363"/>
      <x:c r="AG40" s="363" t="str">
        <x:f>IF($A40="","",AA40/(1-AD40))</x:f>
      </x:c>
      <x:c r="AH40" s="363"/>
      <x:c r="AI40" s="363"/>
      <x:c r="AJ40" s="363" t="str">
        <x:f>IF($A40="","",IF(AI40&gt;0,IF(E40="Salla/Zid",AI40*(1-AB40)-AC40-Y40,IF(OR(E40="HungerStation",E40="ToYou",E40="The Chefz"),AI40*(1-AD40)-Y40,AI40-Y40)),""))</x:f>
      </x:c>
      <x:c r="AK40" s="388" t="str">
        <x:f>IF($A40="","",IF(Y40&gt;0,AJ40/Y40,""))</x:f>
      </x:c>
      <x:c r="AL40" s="364"/>
      <x:c r="AM40" s="365"/>
      <x:c r="AN40" s="389"/>
    </x:row>
    <x:row r="41">
      <x:c r="A41" s="361"/>
      <x:c r="B41" s="362"/>
      <x:c r="C41" s="362"/>
      <x:c r="D41" s="362"/>
      <x:c r="E41" s="362"/>
      <x:c r="F41" s="362"/>
      <x:c r="G41" s="362"/>
      <x:c r="H41" s="362"/>
      <x:c r="I41" s="363"/>
      <x:c r="J41" s="362"/>
      <x:c r="K41" s="362"/>
      <x:c r="L41" s="363"/>
      <x:c r="M41" s="362"/>
      <x:c r="N41" s="362"/>
      <x:c r="O41" s="363"/>
      <x:c r="P41" s="362"/>
      <x:c r="Q41" s="362"/>
      <x:c r="R41" s="363"/>
      <x:c r="S41" s="362"/>
      <x:c r="T41" s="362"/>
      <x:c r="U41" s="363"/>
      <x:c r="V41" s="363" t="str">
        <x:f>IF($A41="","",SUM(I41,L41,O41,R41,U41))</x:f>
      </x:c>
      <x:c r="W41" s="363" t="str">
        <x:f>IF($A41="","",'Pricing Rules'!$B$5)</x:f>
      </x:c>
      <x:c r="X41" s="363"/>
      <x:c r="Y41" s="363" t="str">
        <x:f>IF($A41="","",SUM(V41:X41))</x:f>
      </x:c>
      <x:c r="Z41" s="363" t="str">
        <x:f>IF($A41="","",Y41*'Pricing Rules'!$B$6)</x:f>
      </x:c>
      <x:c r="AA41" s="363" t="str">
        <x:f>IF($A41="","",Y41+Z41)</x:f>
      </x:c>
      <x:c r="AB41" s="388" t="str">
        <x:f>IF($A41="","",'Pricing Rules'!$B$7)</x:f>
      </x:c>
      <x:c r="AC41" s="363" t="str">
        <x:f>IF($A41="","",'Pricing Rules'!$B$8)</x:f>
      </x:c>
      <x:c r="AD41" s="388" t="str">
        <x:f>IF($A41="","",'Pricing Rules'!$B$9)</x:f>
      </x:c>
      <x:c r="AE41" s="363" t="str">
        <x:f>IF($A41="","",(AA41+AC41)/(1-AB41))</x:f>
      </x:c>
      <x:c r="AF41" s="363"/>
      <x:c r="AG41" s="363" t="str">
        <x:f>IF($A41="","",AA41/(1-AD41))</x:f>
      </x:c>
      <x:c r="AH41" s="363"/>
      <x:c r="AI41" s="363"/>
      <x:c r="AJ41" s="363" t="str">
        <x:f>IF($A41="","",IF(AI41&gt;0,IF(E41="Salla/Zid",AI41*(1-AB41)-AC41-Y41,IF(OR(E41="HungerStation",E41="ToYou",E41="The Chefz"),AI41*(1-AD41)-Y41,AI41-Y41)),""))</x:f>
      </x:c>
      <x:c r="AK41" s="388" t="str">
        <x:f>IF($A41="","",IF(Y41&gt;0,AJ41/Y41,""))</x:f>
      </x:c>
      <x:c r="AL41" s="364"/>
      <x:c r="AM41" s="365"/>
      <x:c r="AN41" s="389"/>
    </x:row>
    <x:row r="42">
      <x:c r="A42" s="361"/>
      <x:c r="B42" s="362"/>
      <x:c r="C42" s="362"/>
      <x:c r="D42" s="362"/>
      <x:c r="E42" s="362"/>
      <x:c r="F42" s="362"/>
      <x:c r="G42" s="362"/>
      <x:c r="H42" s="362"/>
      <x:c r="I42" s="363"/>
      <x:c r="J42" s="362"/>
      <x:c r="K42" s="362"/>
      <x:c r="L42" s="363"/>
      <x:c r="M42" s="362"/>
      <x:c r="N42" s="362"/>
      <x:c r="O42" s="363"/>
      <x:c r="P42" s="362"/>
      <x:c r="Q42" s="362"/>
      <x:c r="R42" s="363"/>
      <x:c r="S42" s="362"/>
      <x:c r="T42" s="362"/>
      <x:c r="U42" s="363"/>
      <x:c r="V42" s="363" t="str">
        <x:f>IF($A42="","",SUM(I42,L42,O42,R42,U42))</x:f>
      </x:c>
      <x:c r="W42" s="363" t="str">
        <x:f>IF($A42="","",'Pricing Rules'!$B$5)</x:f>
      </x:c>
      <x:c r="X42" s="363"/>
      <x:c r="Y42" s="363" t="str">
        <x:f>IF($A42="","",SUM(V42:X42))</x:f>
      </x:c>
      <x:c r="Z42" s="363" t="str">
        <x:f>IF($A42="","",Y42*'Pricing Rules'!$B$6)</x:f>
      </x:c>
      <x:c r="AA42" s="363" t="str">
        <x:f>IF($A42="","",Y42+Z42)</x:f>
      </x:c>
      <x:c r="AB42" s="388" t="str">
        <x:f>IF($A42="","",'Pricing Rules'!$B$7)</x:f>
      </x:c>
      <x:c r="AC42" s="363" t="str">
        <x:f>IF($A42="","",'Pricing Rules'!$B$8)</x:f>
      </x:c>
      <x:c r="AD42" s="388" t="str">
        <x:f>IF($A42="","",'Pricing Rules'!$B$9)</x:f>
      </x:c>
      <x:c r="AE42" s="363" t="str">
        <x:f>IF($A42="","",(AA42+AC42)/(1-AB42))</x:f>
      </x:c>
      <x:c r="AF42" s="363"/>
      <x:c r="AG42" s="363" t="str">
        <x:f>IF($A42="","",AA42/(1-AD42))</x:f>
      </x:c>
      <x:c r="AH42" s="363"/>
      <x:c r="AI42" s="363"/>
      <x:c r="AJ42" s="363" t="str">
        <x:f>IF($A42="","",IF(AI42&gt;0,IF(E42="Salla/Zid",AI42*(1-AB42)-AC42-Y42,IF(OR(E42="HungerStation",E42="ToYou",E42="The Chefz"),AI42*(1-AD42)-Y42,AI42-Y42)),""))</x:f>
      </x:c>
      <x:c r="AK42" s="388" t="str">
        <x:f>IF($A42="","",IF(Y42&gt;0,AJ42/Y42,""))</x:f>
      </x:c>
      <x:c r="AL42" s="364"/>
      <x:c r="AM42" s="365"/>
      <x:c r="AN42" s="389"/>
    </x:row>
    <x:row r="43">
      <x:c r="A43" s="361"/>
      <x:c r="B43" s="362"/>
      <x:c r="C43" s="362"/>
      <x:c r="D43" s="362"/>
      <x:c r="E43" s="362"/>
      <x:c r="F43" s="362"/>
      <x:c r="G43" s="362"/>
      <x:c r="H43" s="362"/>
      <x:c r="I43" s="363"/>
      <x:c r="J43" s="362"/>
      <x:c r="K43" s="362"/>
      <x:c r="L43" s="363"/>
      <x:c r="M43" s="362"/>
      <x:c r="N43" s="362"/>
      <x:c r="O43" s="363"/>
      <x:c r="P43" s="362"/>
      <x:c r="Q43" s="362"/>
      <x:c r="R43" s="363"/>
      <x:c r="S43" s="362"/>
      <x:c r="T43" s="362"/>
      <x:c r="U43" s="363"/>
      <x:c r="V43" s="363" t="str">
        <x:f>IF($A43="","",SUM(I43,L43,O43,R43,U43))</x:f>
      </x:c>
      <x:c r="W43" s="363" t="str">
        <x:f>IF($A43="","",'Pricing Rules'!$B$5)</x:f>
      </x:c>
      <x:c r="X43" s="363"/>
      <x:c r="Y43" s="363" t="str">
        <x:f>IF($A43="","",SUM(V43:X43))</x:f>
      </x:c>
      <x:c r="Z43" s="363" t="str">
        <x:f>IF($A43="","",Y43*'Pricing Rules'!$B$6)</x:f>
      </x:c>
      <x:c r="AA43" s="363" t="str">
        <x:f>IF($A43="","",Y43+Z43)</x:f>
      </x:c>
      <x:c r="AB43" s="388" t="str">
        <x:f>IF($A43="","",'Pricing Rules'!$B$7)</x:f>
      </x:c>
      <x:c r="AC43" s="363" t="str">
        <x:f>IF($A43="","",'Pricing Rules'!$B$8)</x:f>
      </x:c>
      <x:c r="AD43" s="388" t="str">
        <x:f>IF($A43="","",'Pricing Rules'!$B$9)</x:f>
      </x:c>
      <x:c r="AE43" s="363" t="str">
        <x:f>IF($A43="","",(AA43+AC43)/(1-AB43))</x:f>
      </x:c>
      <x:c r="AF43" s="363"/>
      <x:c r="AG43" s="363" t="str">
        <x:f>IF($A43="","",AA43/(1-AD43))</x:f>
      </x:c>
      <x:c r="AH43" s="363"/>
      <x:c r="AI43" s="363"/>
      <x:c r="AJ43" s="363" t="str">
        <x:f>IF($A43="","",IF(AI43&gt;0,IF(E43="Salla/Zid",AI43*(1-AB43)-AC43-Y43,IF(OR(E43="HungerStation",E43="ToYou",E43="The Chefz"),AI43*(1-AD43)-Y43,AI43-Y43)),""))</x:f>
      </x:c>
      <x:c r="AK43" s="388" t="str">
        <x:f>IF($A43="","",IF(Y43&gt;0,AJ43/Y43,""))</x:f>
      </x:c>
      <x:c r="AL43" s="364"/>
      <x:c r="AM43" s="365"/>
      <x:c r="AN43" s="389"/>
    </x:row>
    <x:row r="44">
      <x:c r="A44" s="361"/>
      <x:c r="B44" s="362"/>
      <x:c r="C44" s="362"/>
      <x:c r="D44" s="362"/>
      <x:c r="E44" s="362"/>
      <x:c r="F44" s="362"/>
      <x:c r="G44" s="362"/>
      <x:c r="H44" s="362"/>
      <x:c r="I44" s="363"/>
      <x:c r="J44" s="362"/>
      <x:c r="K44" s="362"/>
      <x:c r="L44" s="363"/>
      <x:c r="M44" s="362"/>
      <x:c r="N44" s="362"/>
      <x:c r="O44" s="363"/>
      <x:c r="P44" s="362"/>
      <x:c r="Q44" s="362"/>
      <x:c r="R44" s="363"/>
      <x:c r="S44" s="362"/>
      <x:c r="T44" s="362"/>
      <x:c r="U44" s="363"/>
      <x:c r="V44" s="363" t="str">
        <x:f>IF($A44="","",SUM(I44,L44,O44,R44,U44))</x:f>
      </x:c>
      <x:c r="W44" s="363" t="str">
        <x:f>IF($A44="","",'Pricing Rules'!$B$5)</x:f>
      </x:c>
      <x:c r="X44" s="363"/>
      <x:c r="Y44" s="363" t="str">
        <x:f>IF($A44="","",SUM(V44:X44))</x:f>
      </x:c>
      <x:c r="Z44" s="363" t="str">
        <x:f>IF($A44="","",Y44*'Pricing Rules'!$B$6)</x:f>
      </x:c>
      <x:c r="AA44" s="363" t="str">
        <x:f>IF($A44="","",Y44+Z44)</x:f>
      </x:c>
      <x:c r="AB44" s="388" t="str">
        <x:f>IF($A44="","",'Pricing Rules'!$B$7)</x:f>
      </x:c>
      <x:c r="AC44" s="363" t="str">
        <x:f>IF($A44="","",'Pricing Rules'!$B$8)</x:f>
      </x:c>
      <x:c r="AD44" s="388" t="str">
        <x:f>IF($A44="","",'Pricing Rules'!$B$9)</x:f>
      </x:c>
      <x:c r="AE44" s="363" t="str">
        <x:f>IF($A44="","",(AA44+AC44)/(1-AB44))</x:f>
      </x:c>
      <x:c r="AF44" s="363"/>
      <x:c r="AG44" s="363" t="str">
        <x:f>IF($A44="","",AA44/(1-AD44))</x:f>
      </x:c>
      <x:c r="AH44" s="363"/>
      <x:c r="AI44" s="363"/>
      <x:c r="AJ44" s="363" t="str">
        <x:f>IF($A44="","",IF(AI44&gt;0,IF(E44="Salla/Zid",AI44*(1-AB44)-AC44-Y44,IF(OR(E44="HungerStation",E44="ToYou",E44="The Chefz"),AI44*(1-AD44)-Y44,AI44-Y44)),""))</x:f>
      </x:c>
      <x:c r="AK44" s="388" t="str">
        <x:f>IF($A44="","",IF(Y44&gt;0,AJ44/Y44,""))</x:f>
      </x:c>
      <x:c r="AL44" s="364"/>
      <x:c r="AM44" s="365"/>
      <x:c r="AN44" s="389"/>
    </x:row>
    <x:row r="45">
      <x:c r="A45" s="361"/>
      <x:c r="B45" s="362"/>
      <x:c r="C45" s="362"/>
      <x:c r="D45" s="362"/>
      <x:c r="E45" s="362"/>
      <x:c r="F45" s="362"/>
      <x:c r="G45" s="362"/>
      <x:c r="H45" s="362"/>
      <x:c r="I45" s="363"/>
      <x:c r="J45" s="362"/>
      <x:c r="K45" s="362"/>
      <x:c r="L45" s="363"/>
      <x:c r="M45" s="362"/>
      <x:c r="N45" s="362"/>
      <x:c r="O45" s="363"/>
      <x:c r="P45" s="362"/>
      <x:c r="Q45" s="362"/>
      <x:c r="R45" s="363"/>
      <x:c r="S45" s="362"/>
      <x:c r="T45" s="362"/>
      <x:c r="U45" s="363"/>
      <x:c r="V45" s="363" t="str">
        <x:f>IF($A45="","",SUM(I45,L45,O45,R45,U45))</x:f>
      </x:c>
      <x:c r="W45" s="363" t="str">
        <x:f>IF($A45="","",'Pricing Rules'!$B$5)</x:f>
      </x:c>
      <x:c r="X45" s="363"/>
      <x:c r="Y45" s="363" t="str">
        <x:f>IF($A45="","",SUM(V45:X45))</x:f>
      </x:c>
      <x:c r="Z45" s="363" t="str">
        <x:f>IF($A45="","",Y45*'Pricing Rules'!$B$6)</x:f>
      </x:c>
      <x:c r="AA45" s="363" t="str">
        <x:f>IF($A45="","",Y45+Z45)</x:f>
      </x:c>
      <x:c r="AB45" s="388" t="str">
        <x:f>IF($A45="","",'Pricing Rules'!$B$7)</x:f>
      </x:c>
      <x:c r="AC45" s="363" t="str">
        <x:f>IF($A45="","",'Pricing Rules'!$B$8)</x:f>
      </x:c>
      <x:c r="AD45" s="388" t="str">
        <x:f>IF($A45="","",'Pricing Rules'!$B$9)</x:f>
      </x:c>
      <x:c r="AE45" s="363" t="str">
        <x:f>IF($A45="","",(AA45+AC45)/(1-AB45))</x:f>
      </x:c>
      <x:c r="AF45" s="363"/>
      <x:c r="AG45" s="363" t="str">
        <x:f>IF($A45="","",AA45/(1-AD45))</x:f>
      </x:c>
      <x:c r="AH45" s="363"/>
      <x:c r="AI45" s="363"/>
      <x:c r="AJ45" s="363" t="str">
        <x:f>IF($A45="","",IF(AI45&gt;0,IF(E45="Salla/Zid",AI45*(1-AB45)-AC45-Y45,IF(OR(E45="HungerStation",E45="ToYou",E45="The Chefz"),AI45*(1-AD45)-Y45,AI45-Y45)),""))</x:f>
      </x:c>
      <x:c r="AK45" s="388" t="str">
        <x:f>IF($A45="","",IF(Y45&gt;0,AJ45/Y45,""))</x:f>
      </x:c>
      <x:c r="AL45" s="364"/>
      <x:c r="AM45" s="365"/>
      <x:c r="AN45" s="389"/>
    </x:row>
    <x:row r="46">
      <x:c r="A46" s="361"/>
      <x:c r="B46" s="362"/>
      <x:c r="C46" s="362"/>
      <x:c r="D46" s="362"/>
      <x:c r="E46" s="362"/>
      <x:c r="F46" s="362"/>
      <x:c r="G46" s="362"/>
      <x:c r="H46" s="362"/>
      <x:c r="I46" s="363"/>
      <x:c r="J46" s="362"/>
      <x:c r="K46" s="362"/>
      <x:c r="L46" s="363"/>
      <x:c r="M46" s="362"/>
      <x:c r="N46" s="362"/>
      <x:c r="O46" s="363"/>
      <x:c r="P46" s="362"/>
      <x:c r="Q46" s="362"/>
      <x:c r="R46" s="363"/>
      <x:c r="S46" s="362"/>
      <x:c r="T46" s="362"/>
      <x:c r="U46" s="363"/>
      <x:c r="V46" s="363" t="str">
        <x:f>IF($A46="","",SUM(I46,L46,O46,R46,U46))</x:f>
      </x:c>
      <x:c r="W46" s="363" t="str">
        <x:f>IF($A46="","",'Pricing Rules'!$B$5)</x:f>
      </x:c>
      <x:c r="X46" s="363"/>
      <x:c r="Y46" s="363" t="str">
        <x:f>IF($A46="","",SUM(V46:X46))</x:f>
      </x:c>
      <x:c r="Z46" s="363" t="str">
        <x:f>IF($A46="","",Y46*'Pricing Rules'!$B$6)</x:f>
      </x:c>
      <x:c r="AA46" s="363" t="str">
        <x:f>IF($A46="","",Y46+Z46)</x:f>
      </x:c>
      <x:c r="AB46" s="388" t="str">
        <x:f>IF($A46="","",'Pricing Rules'!$B$7)</x:f>
      </x:c>
      <x:c r="AC46" s="363" t="str">
        <x:f>IF($A46="","",'Pricing Rules'!$B$8)</x:f>
      </x:c>
      <x:c r="AD46" s="388" t="str">
        <x:f>IF($A46="","",'Pricing Rules'!$B$9)</x:f>
      </x:c>
      <x:c r="AE46" s="363" t="str">
        <x:f>IF($A46="","",(AA46+AC46)/(1-AB46))</x:f>
      </x:c>
      <x:c r="AF46" s="363"/>
      <x:c r="AG46" s="363" t="str">
        <x:f>IF($A46="","",AA46/(1-AD46))</x:f>
      </x:c>
      <x:c r="AH46" s="363"/>
      <x:c r="AI46" s="363"/>
      <x:c r="AJ46" s="363" t="str">
        <x:f>IF($A46="","",IF(AI46&gt;0,IF(E46="Salla/Zid",AI46*(1-AB46)-AC46-Y46,IF(OR(E46="HungerStation",E46="ToYou",E46="The Chefz"),AI46*(1-AD46)-Y46,AI46-Y46)),""))</x:f>
      </x:c>
      <x:c r="AK46" s="388" t="str">
        <x:f>IF($A46="","",IF(Y46&gt;0,AJ46/Y46,""))</x:f>
      </x:c>
      <x:c r="AL46" s="364"/>
      <x:c r="AM46" s="365"/>
      <x:c r="AN46" s="389"/>
    </x:row>
    <x:row r="47">
      <x:c r="A47" s="361"/>
      <x:c r="B47" s="362"/>
      <x:c r="C47" s="362"/>
      <x:c r="D47" s="362"/>
      <x:c r="E47" s="362"/>
      <x:c r="F47" s="362"/>
      <x:c r="G47" s="362"/>
      <x:c r="H47" s="362"/>
      <x:c r="I47" s="363"/>
      <x:c r="J47" s="362"/>
      <x:c r="K47" s="362"/>
      <x:c r="L47" s="363"/>
      <x:c r="M47" s="362"/>
      <x:c r="N47" s="362"/>
      <x:c r="O47" s="363"/>
      <x:c r="P47" s="362"/>
      <x:c r="Q47" s="362"/>
      <x:c r="R47" s="363"/>
      <x:c r="S47" s="362"/>
      <x:c r="T47" s="362"/>
      <x:c r="U47" s="363"/>
      <x:c r="V47" s="363" t="str">
        <x:f>IF($A47="","",SUM(I47,L47,O47,R47,U47))</x:f>
      </x:c>
      <x:c r="W47" s="363" t="str">
        <x:f>IF($A47="","",'Pricing Rules'!$B$5)</x:f>
      </x:c>
      <x:c r="X47" s="363"/>
      <x:c r="Y47" s="363" t="str">
        <x:f>IF($A47="","",SUM(V47:X47))</x:f>
      </x:c>
      <x:c r="Z47" s="363" t="str">
        <x:f>IF($A47="","",Y47*'Pricing Rules'!$B$6)</x:f>
      </x:c>
      <x:c r="AA47" s="363" t="str">
        <x:f>IF($A47="","",Y47+Z47)</x:f>
      </x:c>
      <x:c r="AB47" s="388" t="str">
        <x:f>IF($A47="","",'Pricing Rules'!$B$7)</x:f>
      </x:c>
      <x:c r="AC47" s="363" t="str">
        <x:f>IF($A47="","",'Pricing Rules'!$B$8)</x:f>
      </x:c>
      <x:c r="AD47" s="388" t="str">
        <x:f>IF($A47="","",'Pricing Rules'!$B$9)</x:f>
      </x:c>
      <x:c r="AE47" s="363" t="str">
        <x:f>IF($A47="","",(AA47+AC47)/(1-AB47))</x:f>
      </x:c>
      <x:c r="AF47" s="363"/>
      <x:c r="AG47" s="363" t="str">
        <x:f>IF($A47="","",AA47/(1-AD47))</x:f>
      </x:c>
      <x:c r="AH47" s="363"/>
      <x:c r="AI47" s="363"/>
      <x:c r="AJ47" s="363" t="str">
        <x:f>IF($A47="","",IF(AI47&gt;0,IF(E47="Salla/Zid",AI47*(1-AB47)-AC47-Y47,IF(OR(E47="HungerStation",E47="ToYou",E47="The Chefz"),AI47*(1-AD47)-Y47,AI47-Y47)),""))</x:f>
      </x:c>
      <x:c r="AK47" s="388" t="str">
        <x:f>IF($A47="","",IF(Y47&gt;0,AJ47/Y47,""))</x:f>
      </x:c>
      <x:c r="AL47" s="364"/>
      <x:c r="AM47" s="365"/>
      <x:c r="AN47" s="389"/>
    </x:row>
    <x:row r="48">
      <x:c r="A48" s="361"/>
      <x:c r="B48" s="362"/>
      <x:c r="C48" s="362"/>
      <x:c r="D48" s="362"/>
      <x:c r="E48" s="362"/>
      <x:c r="F48" s="362"/>
      <x:c r="G48" s="362"/>
      <x:c r="H48" s="362"/>
      <x:c r="I48" s="363"/>
      <x:c r="J48" s="362"/>
      <x:c r="K48" s="362"/>
      <x:c r="L48" s="363"/>
      <x:c r="M48" s="362"/>
      <x:c r="N48" s="362"/>
      <x:c r="O48" s="363"/>
      <x:c r="P48" s="362"/>
      <x:c r="Q48" s="362"/>
      <x:c r="R48" s="363"/>
      <x:c r="S48" s="362"/>
      <x:c r="T48" s="362"/>
      <x:c r="U48" s="363"/>
      <x:c r="V48" s="363" t="str">
        <x:f>IF($A48="","",SUM(I48,L48,O48,R48,U48))</x:f>
      </x:c>
      <x:c r="W48" s="363" t="str">
        <x:f>IF($A48="","",'Pricing Rules'!$B$5)</x:f>
      </x:c>
      <x:c r="X48" s="363"/>
      <x:c r="Y48" s="363" t="str">
        <x:f>IF($A48="","",SUM(V48:X48))</x:f>
      </x:c>
      <x:c r="Z48" s="363" t="str">
        <x:f>IF($A48="","",Y48*'Pricing Rules'!$B$6)</x:f>
      </x:c>
      <x:c r="AA48" s="363" t="str">
        <x:f>IF($A48="","",Y48+Z48)</x:f>
      </x:c>
      <x:c r="AB48" s="388" t="str">
        <x:f>IF($A48="","",'Pricing Rules'!$B$7)</x:f>
      </x:c>
      <x:c r="AC48" s="363" t="str">
        <x:f>IF($A48="","",'Pricing Rules'!$B$8)</x:f>
      </x:c>
      <x:c r="AD48" s="388" t="str">
        <x:f>IF($A48="","",'Pricing Rules'!$B$9)</x:f>
      </x:c>
      <x:c r="AE48" s="363" t="str">
        <x:f>IF($A48="","",(AA48+AC48)/(1-AB48))</x:f>
      </x:c>
      <x:c r="AF48" s="363"/>
      <x:c r="AG48" s="363" t="str">
        <x:f>IF($A48="","",AA48/(1-AD48))</x:f>
      </x:c>
      <x:c r="AH48" s="363"/>
      <x:c r="AI48" s="363"/>
      <x:c r="AJ48" s="363" t="str">
        <x:f>IF($A48="","",IF(AI48&gt;0,IF(E48="Salla/Zid",AI48*(1-AB48)-AC48-Y48,IF(OR(E48="HungerStation",E48="ToYou",E48="The Chefz"),AI48*(1-AD48)-Y48,AI48-Y48)),""))</x:f>
      </x:c>
      <x:c r="AK48" s="388" t="str">
        <x:f>IF($A48="","",IF(Y48&gt;0,AJ48/Y48,""))</x:f>
      </x:c>
      <x:c r="AL48" s="364"/>
      <x:c r="AM48" s="365"/>
      <x:c r="AN48" s="389"/>
    </x:row>
    <x:row r="49">
      <x:c r="A49" s="361"/>
      <x:c r="B49" s="362"/>
      <x:c r="C49" s="362"/>
      <x:c r="D49" s="362"/>
      <x:c r="E49" s="362"/>
      <x:c r="F49" s="362"/>
      <x:c r="G49" s="362"/>
      <x:c r="H49" s="362"/>
      <x:c r="I49" s="363"/>
      <x:c r="J49" s="362"/>
      <x:c r="K49" s="362"/>
      <x:c r="L49" s="363"/>
      <x:c r="M49" s="362"/>
      <x:c r="N49" s="362"/>
      <x:c r="O49" s="363"/>
      <x:c r="P49" s="362"/>
      <x:c r="Q49" s="362"/>
      <x:c r="R49" s="363"/>
      <x:c r="S49" s="362"/>
      <x:c r="T49" s="362"/>
      <x:c r="U49" s="363"/>
      <x:c r="V49" s="363" t="str">
        <x:f>IF($A49="","",SUM(I49,L49,O49,R49,U49))</x:f>
      </x:c>
      <x:c r="W49" s="363" t="str">
        <x:f>IF($A49="","",'Pricing Rules'!$B$5)</x:f>
      </x:c>
      <x:c r="X49" s="363"/>
      <x:c r="Y49" s="363" t="str">
        <x:f>IF($A49="","",SUM(V49:X49))</x:f>
      </x:c>
      <x:c r="Z49" s="363" t="str">
        <x:f>IF($A49="","",Y49*'Pricing Rules'!$B$6)</x:f>
      </x:c>
      <x:c r="AA49" s="363" t="str">
        <x:f>IF($A49="","",Y49+Z49)</x:f>
      </x:c>
      <x:c r="AB49" s="388" t="str">
        <x:f>IF($A49="","",'Pricing Rules'!$B$7)</x:f>
      </x:c>
      <x:c r="AC49" s="363" t="str">
        <x:f>IF($A49="","",'Pricing Rules'!$B$8)</x:f>
      </x:c>
      <x:c r="AD49" s="388" t="str">
        <x:f>IF($A49="","",'Pricing Rules'!$B$9)</x:f>
      </x:c>
      <x:c r="AE49" s="363" t="str">
        <x:f>IF($A49="","",(AA49+AC49)/(1-AB49))</x:f>
      </x:c>
      <x:c r="AF49" s="363"/>
      <x:c r="AG49" s="363" t="str">
        <x:f>IF($A49="","",AA49/(1-AD49))</x:f>
      </x:c>
      <x:c r="AH49" s="363"/>
      <x:c r="AI49" s="363"/>
      <x:c r="AJ49" s="363" t="str">
        <x:f>IF($A49="","",IF(AI49&gt;0,IF(E49="Salla/Zid",AI49*(1-AB49)-AC49-Y49,IF(OR(E49="HungerStation",E49="ToYou",E49="The Chefz"),AI49*(1-AD49)-Y49,AI49-Y49)),""))</x:f>
      </x:c>
      <x:c r="AK49" s="388" t="str">
        <x:f>IF($A49="","",IF(Y49&gt;0,AJ49/Y49,""))</x:f>
      </x:c>
      <x:c r="AL49" s="364"/>
      <x:c r="AM49" s="365"/>
      <x:c r="AN49" s="389"/>
    </x:row>
    <x:row r="50">
      <x:c r="A50" s="361"/>
      <x:c r="B50" s="362"/>
      <x:c r="C50" s="362"/>
      <x:c r="D50" s="362"/>
      <x:c r="E50" s="362"/>
      <x:c r="F50" s="362"/>
      <x:c r="G50" s="362"/>
      <x:c r="H50" s="362"/>
      <x:c r="I50" s="363"/>
      <x:c r="J50" s="362"/>
      <x:c r="K50" s="362"/>
      <x:c r="L50" s="363"/>
      <x:c r="M50" s="362"/>
      <x:c r="N50" s="362"/>
      <x:c r="O50" s="363"/>
      <x:c r="P50" s="362"/>
      <x:c r="Q50" s="362"/>
      <x:c r="R50" s="363"/>
      <x:c r="S50" s="362"/>
      <x:c r="T50" s="362"/>
      <x:c r="U50" s="363"/>
      <x:c r="V50" s="363" t="str">
        <x:f>IF($A50="","",SUM(I50,L50,O50,R50,U50))</x:f>
      </x:c>
      <x:c r="W50" s="363" t="str">
        <x:f>IF($A50="","",'Pricing Rules'!$B$5)</x:f>
      </x:c>
      <x:c r="X50" s="363"/>
      <x:c r="Y50" s="363" t="str">
        <x:f>IF($A50="","",SUM(V50:X50))</x:f>
      </x:c>
      <x:c r="Z50" s="363" t="str">
        <x:f>IF($A50="","",Y50*'Pricing Rules'!$B$6)</x:f>
      </x:c>
      <x:c r="AA50" s="363" t="str">
        <x:f>IF($A50="","",Y50+Z50)</x:f>
      </x:c>
      <x:c r="AB50" s="388" t="str">
        <x:f>IF($A50="","",'Pricing Rules'!$B$7)</x:f>
      </x:c>
      <x:c r="AC50" s="363" t="str">
        <x:f>IF($A50="","",'Pricing Rules'!$B$8)</x:f>
      </x:c>
      <x:c r="AD50" s="388" t="str">
        <x:f>IF($A50="","",'Pricing Rules'!$B$9)</x:f>
      </x:c>
      <x:c r="AE50" s="363" t="str">
        <x:f>IF($A50="","",(AA50+AC50)/(1-AB50))</x:f>
      </x:c>
      <x:c r="AF50" s="363"/>
      <x:c r="AG50" s="363" t="str">
        <x:f>IF($A50="","",AA50/(1-AD50))</x:f>
      </x:c>
      <x:c r="AH50" s="363"/>
      <x:c r="AI50" s="363"/>
      <x:c r="AJ50" s="363" t="str">
        <x:f>IF($A50="","",IF(AI50&gt;0,IF(E50="Salla/Zid",AI50*(1-AB50)-AC50-Y50,IF(OR(E50="HungerStation",E50="ToYou",E50="The Chefz"),AI50*(1-AD50)-Y50,AI50-Y50)),""))</x:f>
      </x:c>
      <x:c r="AK50" s="388" t="str">
        <x:f>IF($A50="","",IF(Y50&gt;0,AJ50/Y50,""))</x:f>
      </x:c>
      <x:c r="AL50" s="364"/>
      <x:c r="AM50" s="365"/>
      <x:c r="AN50" s="389"/>
    </x:row>
    <x:row r="51">
      <x:c r="A51" s="361"/>
      <x:c r="B51" s="362"/>
      <x:c r="C51" s="362"/>
      <x:c r="D51" s="362"/>
      <x:c r="E51" s="362"/>
      <x:c r="F51" s="362"/>
      <x:c r="G51" s="362"/>
      <x:c r="H51" s="362"/>
      <x:c r="I51" s="363"/>
      <x:c r="J51" s="362"/>
      <x:c r="K51" s="362"/>
      <x:c r="L51" s="363"/>
      <x:c r="M51" s="362"/>
      <x:c r="N51" s="362"/>
      <x:c r="O51" s="363"/>
      <x:c r="P51" s="362"/>
      <x:c r="Q51" s="362"/>
      <x:c r="R51" s="363"/>
      <x:c r="S51" s="362"/>
      <x:c r="T51" s="362"/>
      <x:c r="U51" s="363"/>
      <x:c r="V51" s="363" t="str">
        <x:f>IF($A51="","",SUM(I51,L51,O51,R51,U51))</x:f>
      </x:c>
      <x:c r="W51" s="363" t="str">
        <x:f>IF($A51="","",'Pricing Rules'!$B$5)</x:f>
      </x:c>
      <x:c r="X51" s="363"/>
      <x:c r="Y51" s="363" t="str">
        <x:f>IF($A51="","",SUM(V51:X51))</x:f>
      </x:c>
      <x:c r="Z51" s="363" t="str">
        <x:f>IF($A51="","",Y51*'Pricing Rules'!$B$6)</x:f>
      </x:c>
      <x:c r="AA51" s="363" t="str">
        <x:f>IF($A51="","",Y51+Z51)</x:f>
      </x:c>
      <x:c r="AB51" s="388" t="str">
        <x:f>IF($A51="","",'Pricing Rules'!$B$7)</x:f>
      </x:c>
      <x:c r="AC51" s="363" t="str">
        <x:f>IF($A51="","",'Pricing Rules'!$B$8)</x:f>
      </x:c>
      <x:c r="AD51" s="388" t="str">
        <x:f>IF($A51="","",'Pricing Rules'!$B$9)</x:f>
      </x:c>
      <x:c r="AE51" s="363" t="str">
        <x:f>IF($A51="","",(AA51+AC51)/(1-AB51))</x:f>
      </x:c>
      <x:c r="AF51" s="363"/>
      <x:c r="AG51" s="363" t="str">
        <x:f>IF($A51="","",AA51/(1-AD51))</x:f>
      </x:c>
      <x:c r="AH51" s="363"/>
      <x:c r="AI51" s="363"/>
      <x:c r="AJ51" s="363" t="str">
        <x:f>IF($A51="","",IF(AI51&gt;0,IF(E51="Salla/Zid",AI51*(1-AB51)-AC51-Y51,IF(OR(E51="HungerStation",E51="ToYou",E51="The Chefz"),AI51*(1-AD51)-Y51,AI51-Y51)),""))</x:f>
      </x:c>
      <x:c r="AK51" s="388" t="str">
        <x:f>IF($A51="","",IF(Y51&gt;0,AJ51/Y51,""))</x:f>
      </x:c>
      <x:c r="AL51" s="364"/>
      <x:c r="AM51" s="365"/>
      <x:c r="AN51" s="389"/>
    </x:row>
    <x:row r="52">
      <x:c r="A52" s="361"/>
      <x:c r="B52" s="362"/>
      <x:c r="C52" s="362"/>
      <x:c r="D52" s="362"/>
      <x:c r="E52" s="362"/>
      <x:c r="F52" s="362"/>
      <x:c r="G52" s="362"/>
      <x:c r="H52" s="362"/>
      <x:c r="I52" s="363"/>
      <x:c r="J52" s="362"/>
      <x:c r="K52" s="362"/>
      <x:c r="L52" s="363"/>
      <x:c r="M52" s="362"/>
      <x:c r="N52" s="362"/>
      <x:c r="O52" s="363"/>
      <x:c r="P52" s="362"/>
      <x:c r="Q52" s="362"/>
      <x:c r="R52" s="363"/>
      <x:c r="S52" s="362"/>
      <x:c r="T52" s="362"/>
      <x:c r="U52" s="363"/>
      <x:c r="V52" s="363" t="str">
        <x:f>IF($A52="","",SUM(I52,L52,O52,R52,U52))</x:f>
      </x:c>
      <x:c r="W52" s="363" t="str">
        <x:f>IF($A52="","",'Pricing Rules'!$B$5)</x:f>
      </x:c>
      <x:c r="X52" s="363"/>
      <x:c r="Y52" s="363" t="str">
        <x:f>IF($A52="","",SUM(V52:X52))</x:f>
      </x:c>
      <x:c r="Z52" s="363" t="str">
        <x:f>IF($A52="","",Y52*'Pricing Rules'!$B$6)</x:f>
      </x:c>
      <x:c r="AA52" s="363" t="str">
        <x:f>IF($A52="","",Y52+Z52)</x:f>
      </x:c>
      <x:c r="AB52" s="388" t="str">
        <x:f>IF($A52="","",'Pricing Rules'!$B$7)</x:f>
      </x:c>
      <x:c r="AC52" s="363" t="str">
        <x:f>IF($A52="","",'Pricing Rules'!$B$8)</x:f>
      </x:c>
      <x:c r="AD52" s="388" t="str">
        <x:f>IF($A52="","",'Pricing Rules'!$B$9)</x:f>
      </x:c>
      <x:c r="AE52" s="363" t="str">
        <x:f>IF($A52="","",(AA52+AC52)/(1-AB52))</x:f>
      </x:c>
      <x:c r="AF52" s="363"/>
      <x:c r="AG52" s="363" t="str">
        <x:f>IF($A52="","",AA52/(1-AD52))</x:f>
      </x:c>
      <x:c r="AH52" s="363"/>
      <x:c r="AI52" s="363"/>
      <x:c r="AJ52" s="363" t="str">
        <x:f>IF($A52="","",IF(AI52&gt;0,IF(E52="Salla/Zid",AI52*(1-AB52)-AC52-Y52,IF(OR(E52="HungerStation",E52="ToYou",E52="The Chefz"),AI52*(1-AD52)-Y52,AI52-Y52)),""))</x:f>
      </x:c>
      <x:c r="AK52" s="388" t="str">
        <x:f>IF($A52="","",IF(Y52&gt;0,AJ52/Y52,""))</x:f>
      </x:c>
      <x:c r="AL52" s="364"/>
      <x:c r="AM52" s="365"/>
      <x:c r="AN52" s="389"/>
    </x:row>
    <x:row r="53">
      <x:c r="A53" s="361"/>
      <x:c r="B53" s="362"/>
      <x:c r="C53" s="362"/>
      <x:c r="D53" s="362"/>
      <x:c r="E53" s="362"/>
      <x:c r="F53" s="362"/>
      <x:c r="G53" s="362"/>
      <x:c r="H53" s="362"/>
      <x:c r="I53" s="363"/>
      <x:c r="J53" s="362"/>
      <x:c r="K53" s="362"/>
      <x:c r="L53" s="363"/>
      <x:c r="M53" s="362"/>
      <x:c r="N53" s="362"/>
      <x:c r="O53" s="363"/>
      <x:c r="P53" s="362"/>
      <x:c r="Q53" s="362"/>
      <x:c r="R53" s="363"/>
      <x:c r="S53" s="362"/>
      <x:c r="T53" s="362"/>
      <x:c r="U53" s="363"/>
      <x:c r="V53" s="363" t="str">
        <x:f>IF($A53="","",SUM(I53,L53,O53,R53,U53))</x:f>
      </x:c>
      <x:c r="W53" s="363" t="str">
        <x:f>IF($A53="","",'Pricing Rules'!$B$5)</x:f>
      </x:c>
      <x:c r="X53" s="363"/>
      <x:c r="Y53" s="363" t="str">
        <x:f>IF($A53="","",SUM(V53:X53))</x:f>
      </x:c>
      <x:c r="Z53" s="363" t="str">
        <x:f>IF($A53="","",Y53*'Pricing Rules'!$B$6)</x:f>
      </x:c>
      <x:c r="AA53" s="363" t="str">
        <x:f>IF($A53="","",Y53+Z53)</x:f>
      </x:c>
      <x:c r="AB53" s="388" t="str">
        <x:f>IF($A53="","",'Pricing Rules'!$B$7)</x:f>
      </x:c>
      <x:c r="AC53" s="363" t="str">
        <x:f>IF($A53="","",'Pricing Rules'!$B$8)</x:f>
      </x:c>
      <x:c r="AD53" s="388" t="str">
        <x:f>IF($A53="","",'Pricing Rules'!$B$9)</x:f>
      </x:c>
      <x:c r="AE53" s="363" t="str">
        <x:f>IF($A53="","",(AA53+AC53)/(1-AB53))</x:f>
      </x:c>
      <x:c r="AF53" s="363"/>
      <x:c r="AG53" s="363" t="str">
        <x:f>IF($A53="","",AA53/(1-AD53))</x:f>
      </x:c>
      <x:c r="AH53" s="363"/>
      <x:c r="AI53" s="363"/>
      <x:c r="AJ53" s="363" t="str">
        <x:f>IF($A53="","",IF(AI53&gt;0,IF(E53="Salla/Zid",AI53*(1-AB53)-AC53-Y53,IF(OR(E53="HungerStation",E53="ToYou",E53="The Chefz"),AI53*(1-AD53)-Y53,AI53-Y53)),""))</x:f>
      </x:c>
      <x:c r="AK53" s="388" t="str">
        <x:f>IF($A53="","",IF(Y53&gt;0,AJ53/Y53,""))</x:f>
      </x:c>
      <x:c r="AL53" s="364"/>
      <x:c r="AM53" s="365"/>
      <x:c r="AN53" s="389"/>
    </x:row>
    <x:row r="54">
      <x:c r="A54" s="361"/>
      <x:c r="B54" s="362"/>
      <x:c r="C54" s="362"/>
      <x:c r="D54" s="362"/>
      <x:c r="E54" s="362"/>
      <x:c r="F54" s="362"/>
      <x:c r="G54" s="362"/>
      <x:c r="H54" s="362"/>
      <x:c r="I54" s="363"/>
      <x:c r="J54" s="362"/>
      <x:c r="K54" s="362"/>
      <x:c r="L54" s="363"/>
      <x:c r="M54" s="362"/>
      <x:c r="N54" s="362"/>
      <x:c r="O54" s="363"/>
      <x:c r="P54" s="362"/>
      <x:c r="Q54" s="362"/>
      <x:c r="R54" s="363"/>
      <x:c r="S54" s="362"/>
      <x:c r="T54" s="362"/>
      <x:c r="U54" s="363"/>
      <x:c r="V54" s="363" t="str">
        <x:f>IF($A54="","",SUM(I54,L54,O54,R54,U54))</x:f>
      </x:c>
      <x:c r="W54" s="363" t="str">
        <x:f>IF($A54="","",'Pricing Rules'!$B$5)</x:f>
      </x:c>
      <x:c r="X54" s="363"/>
      <x:c r="Y54" s="363" t="str">
        <x:f>IF($A54="","",SUM(V54:X54))</x:f>
      </x:c>
      <x:c r="Z54" s="363" t="str">
        <x:f>IF($A54="","",Y54*'Pricing Rules'!$B$6)</x:f>
      </x:c>
      <x:c r="AA54" s="363" t="str">
        <x:f>IF($A54="","",Y54+Z54)</x:f>
      </x:c>
      <x:c r="AB54" s="388" t="str">
        <x:f>IF($A54="","",'Pricing Rules'!$B$7)</x:f>
      </x:c>
      <x:c r="AC54" s="363" t="str">
        <x:f>IF($A54="","",'Pricing Rules'!$B$8)</x:f>
      </x:c>
      <x:c r="AD54" s="388" t="str">
        <x:f>IF($A54="","",'Pricing Rules'!$B$9)</x:f>
      </x:c>
      <x:c r="AE54" s="363" t="str">
        <x:f>IF($A54="","",(AA54+AC54)/(1-AB54))</x:f>
      </x:c>
      <x:c r="AF54" s="363"/>
      <x:c r="AG54" s="363" t="str">
        <x:f>IF($A54="","",AA54/(1-AD54))</x:f>
      </x:c>
      <x:c r="AH54" s="363"/>
      <x:c r="AI54" s="363"/>
      <x:c r="AJ54" s="363" t="str">
        <x:f>IF($A54="","",IF(AI54&gt;0,IF(E54="Salla/Zid",AI54*(1-AB54)-AC54-Y54,IF(OR(E54="HungerStation",E54="ToYou",E54="The Chefz"),AI54*(1-AD54)-Y54,AI54-Y54)),""))</x:f>
      </x:c>
      <x:c r="AK54" s="388" t="str">
        <x:f>IF($A54="","",IF(Y54&gt;0,AJ54/Y54,""))</x:f>
      </x:c>
      <x:c r="AL54" s="364"/>
      <x:c r="AM54" s="365"/>
      <x:c r="AN54" s="389"/>
    </x:row>
    <x:row r="55">
      <x:c r="A55" s="361"/>
      <x:c r="B55" s="362"/>
      <x:c r="C55" s="362"/>
      <x:c r="D55" s="362"/>
      <x:c r="E55" s="362"/>
      <x:c r="F55" s="362"/>
      <x:c r="G55" s="362"/>
      <x:c r="H55" s="362"/>
      <x:c r="I55" s="363"/>
      <x:c r="J55" s="362"/>
      <x:c r="K55" s="362"/>
      <x:c r="L55" s="363"/>
      <x:c r="M55" s="362"/>
      <x:c r="N55" s="362"/>
      <x:c r="O55" s="363"/>
      <x:c r="P55" s="362"/>
      <x:c r="Q55" s="362"/>
      <x:c r="R55" s="363"/>
      <x:c r="S55" s="362"/>
      <x:c r="T55" s="362"/>
      <x:c r="U55" s="363"/>
      <x:c r="V55" s="363" t="str">
        <x:f>IF($A55="","",SUM(I55,L55,O55,R55,U55))</x:f>
      </x:c>
      <x:c r="W55" s="363" t="str">
        <x:f>IF($A55="","",'Pricing Rules'!$B$5)</x:f>
      </x:c>
      <x:c r="X55" s="363"/>
      <x:c r="Y55" s="363" t="str">
        <x:f>IF($A55="","",SUM(V55:X55))</x:f>
      </x:c>
      <x:c r="Z55" s="363" t="str">
        <x:f>IF($A55="","",Y55*'Pricing Rules'!$B$6)</x:f>
      </x:c>
      <x:c r="AA55" s="363" t="str">
        <x:f>IF($A55="","",Y55+Z55)</x:f>
      </x:c>
      <x:c r="AB55" s="388" t="str">
        <x:f>IF($A55="","",'Pricing Rules'!$B$7)</x:f>
      </x:c>
      <x:c r="AC55" s="363" t="str">
        <x:f>IF($A55="","",'Pricing Rules'!$B$8)</x:f>
      </x:c>
      <x:c r="AD55" s="388" t="str">
        <x:f>IF($A55="","",'Pricing Rules'!$B$9)</x:f>
      </x:c>
      <x:c r="AE55" s="363" t="str">
        <x:f>IF($A55="","",(AA55+AC55)/(1-AB55))</x:f>
      </x:c>
      <x:c r="AF55" s="363"/>
      <x:c r="AG55" s="363" t="str">
        <x:f>IF($A55="","",AA55/(1-AD55))</x:f>
      </x:c>
      <x:c r="AH55" s="363"/>
      <x:c r="AI55" s="363"/>
      <x:c r="AJ55" s="363" t="str">
        <x:f>IF($A55="","",IF(AI55&gt;0,IF(E55="Salla/Zid",AI55*(1-AB55)-AC55-Y55,IF(OR(E55="HungerStation",E55="ToYou",E55="The Chefz"),AI55*(1-AD55)-Y55,AI55-Y55)),""))</x:f>
      </x:c>
      <x:c r="AK55" s="388" t="str">
        <x:f>IF($A55="","",IF(Y55&gt;0,AJ55/Y55,""))</x:f>
      </x:c>
      <x:c r="AL55" s="364"/>
      <x:c r="AM55" s="365"/>
      <x:c r="AN55" s="389"/>
    </x:row>
    <x:row r="56">
      <x:c r="A56" s="361"/>
      <x:c r="B56" s="362"/>
      <x:c r="C56" s="362"/>
      <x:c r="D56" s="362"/>
      <x:c r="E56" s="362"/>
      <x:c r="F56" s="362"/>
      <x:c r="G56" s="362"/>
      <x:c r="H56" s="362"/>
      <x:c r="I56" s="363"/>
      <x:c r="J56" s="362"/>
      <x:c r="K56" s="362"/>
      <x:c r="L56" s="363"/>
      <x:c r="M56" s="362"/>
      <x:c r="N56" s="362"/>
      <x:c r="O56" s="363"/>
      <x:c r="P56" s="362"/>
      <x:c r="Q56" s="362"/>
      <x:c r="R56" s="363"/>
      <x:c r="S56" s="362"/>
      <x:c r="T56" s="362"/>
      <x:c r="U56" s="363"/>
      <x:c r="V56" s="363" t="str">
        <x:f>IF($A56="","",SUM(I56,L56,O56,R56,U56))</x:f>
      </x:c>
      <x:c r="W56" s="363" t="str">
        <x:f>IF($A56="","",'Pricing Rules'!$B$5)</x:f>
      </x:c>
      <x:c r="X56" s="363"/>
      <x:c r="Y56" s="363" t="str">
        <x:f>IF($A56="","",SUM(V56:X56))</x:f>
      </x:c>
      <x:c r="Z56" s="363" t="str">
        <x:f>IF($A56="","",Y56*'Pricing Rules'!$B$6)</x:f>
      </x:c>
      <x:c r="AA56" s="363" t="str">
        <x:f>IF($A56="","",Y56+Z56)</x:f>
      </x:c>
      <x:c r="AB56" s="388" t="str">
        <x:f>IF($A56="","",'Pricing Rules'!$B$7)</x:f>
      </x:c>
      <x:c r="AC56" s="363" t="str">
        <x:f>IF($A56="","",'Pricing Rules'!$B$8)</x:f>
      </x:c>
      <x:c r="AD56" s="388" t="str">
        <x:f>IF($A56="","",'Pricing Rules'!$B$9)</x:f>
      </x:c>
      <x:c r="AE56" s="363" t="str">
        <x:f>IF($A56="","",(AA56+AC56)/(1-AB56))</x:f>
      </x:c>
      <x:c r="AF56" s="363"/>
      <x:c r="AG56" s="363" t="str">
        <x:f>IF($A56="","",AA56/(1-AD56))</x:f>
      </x:c>
      <x:c r="AH56" s="363"/>
      <x:c r="AI56" s="363"/>
      <x:c r="AJ56" s="363" t="str">
        <x:f>IF($A56="","",IF(AI56&gt;0,IF(E56="Salla/Zid",AI56*(1-AB56)-AC56-Y56,IF(OR(E56="HungerStation",E56="ToYou",E56="The Chefz"),AI56*(1-AD56)-Y56,AI56-Y56)),""))</x:f>
      </x:c>
      <x:c r="AK56" s="388" t="str">
        <x:f>IF($A56="","",IF(Y56&gt;0,AJ56/Y56,""))</x:f>
      </x:c>
      <x:c r="AL56" s="364"/>
      <x:c r="AM56" s="365"/>
      <x:c r="AN56" s="389"/>
    </x:row>
    <x:row r="57">
      <x:c r="A57" s="361"/>
      <x:c r="B57" s="362"/>
      <x:c r="C57" s="362"/>
      <x:c r="D57" s="362"/>
      <x:c r="E57" s="362"/>
      <x:c r="F57" s="362"/>
      <x:c r="G57" s="362"/>
      <x:c r="H57" s="362"/>
      <x:c r="I57" s="363"/>
      <x:c r="J57" s="362"/>
      <x:c r="K57" s="362"/>
      <x:c r="L57" s="363"/>
      <x:c r="M57" s="362"/>
      <x:c r="N57" s="362"/>
      <x:c r="O57" s="363"/>
      <x:c r="P57" s="362"/>
      <x:c r="Q57" s="362"/>
      <x:c r="R57" s="363"/>
      <x:c r="S57" s="362"/>
      <x:c r="T57" s="362"/>
      <x:c r="U57" s="363"/>
      <x:c r="V57" s="363" t="str">
        <x:f>IF($A57="","",SUM(I57,L57,O57,R57,U57))</x:f>
      </x:c>
      <x:c r="W57" s="363" t="str">
        <x:f>IF($A57="","",'Pricing Rules'!$B$5)</x:f>
      </x:c>
      <x:c r="X57" s="363"/>
      <x:c r="Y57" s="363" t="str">
        <x:f>IF($A57="","",SUM(V57:X57))</x:f>
      </x:c>
      <x:c r="Z57" s="363" t="str">
        <x:f>IF($A57="","",Y57*'Pricing Rules'!$B$6)</x:f>
      </x:c>
      <x:c r="AA57" s="363" t="str">
        <x:f>IF($A57="","",Y57+Z57)</x:f>
      </x:c>
      <x:c r="AB57" s="388" t="str">
        <x:f>IF($A57="","",'Pricing Rules'!$B$7)</x:f>
      </x:c>
      <x:c r="AC57" s="363" t="str">
        <x:f>IF($A57="","",'Pricing Rules'!$B$8)</x:f>
      </x:c>
      <x:c r="AD57" s="388" t="str">
        <x:f>IF($A57="","",'Pricing Rules'!$B$9)</x:f>
      </x:c>
      <x:c r="AE57" s="363" t="str">
        <x:f>IF($A57="","",(AA57+AC57)/(1-AB57))</x:f>
      </x:c>
      <x:c r="AF57" s="363"/>
      <x:c r="AG57" s="363" t="str">
        <x:f>IF($A57="","",AA57/(1-AD57))</x:f>
      </x:c>
      <x:c r="AH57" s="363"/>
      <x:c r="AI57" s="363"/>
      <x:c r="AJ57" s="363" t="str">
        <x:f>IF($A57="","",IF(AI57&gt;0,IF(E57="Salla/Zid",AI57*(1-AB57)-AC57-Y57,IF(OR(E57="HungerStation",E57="ToYou",E57="The Chefz"),AI57*(1-AD57)-Y57,AI57-Y57)),""))</x:f>
      </x:c>
      <x:c r="AK57" s="388" t="str">
        <x:f>IF($A57="","",IF(Y57&gt;0,AJ57/Y57,""))</x:f>
      </x:c>
      <x:c r="AL57" s="364"/>
      <x:c r="AM57" s="365"/>
      <x:c r="AN57" s="389"/>
    </x:row>
    <x:row r="58">
      <x:c r="A58" s="361"/>
      <x:c r="B58" s="362"/>
      <x:c r="C58" s="362"/>
      <x:c r="D58" s="362"/>
      <x:c r="E58" s="362"/>
      <x:c r="F58" s="362"/>
      <x:c r="G58" s="362"/>
      <x:c r="H58" s="362"/>
      <x:c r="I58" s="363"/>
      <x:c r="J58" s="362"/>
      <x:c r="K58" s="362"/>
      <x:c r="L58" s="363"/>
      <x:c r="M58" s="362"/>
      <x:c r="N58" s="362"/>
      <x:c r="O58" s="363"/>
      <x:c r="P58" s="362"/>
      <x:c r="Q58" s="362"/>
      <x:c r="R58" s="363"/>
      <x:c r="S58" s="362"/>
      <x:c r="T58" s="362"/>
      <x:c r="U58" s="363"/>
      <x:c r="V58" s="363" t="str">
        <x:f>IF($A58="","",SUM(I58,L58,O58,R58,U58))</x:f>
      </x:c>
      <x:c r="W58" s="363" t="str">
        <x:f>IF($A58="","",'Pricing Rules'!$B$5)</x:f>
      </x:c>
      <x:c r="X58" s="363"/>
      <x:c r="Y58" s="363" t="str">
        <x:f>IF($A58="","",SUM(V58:X58))</x:f>
      </x:c>
      <x:c r="Z58" s="363" t="str">
        <x:f>IF($A58="","",Y58*'Pricing Rules'!$B$6)</x:f>
      </x:c>
      <x:c r="AA58" s="363" t="str">
        <x:f>IF($A58="","",Y58+Z58)</x:f>
      </x:c>
      <x:c r="AB58" s="388" t="str">
        <x:f>IF($A58="","",'Pricing Rules'!$B$7)</x:f>
      </x:c>
      <x:c r="AC58" s="363" t="str">
        <x:f>IF($A58="","",'Pricing Rules'!$B$8)</x:f>
      </x:c>
      <x:c r="AD58" s="388" t="str">
        <x:f>IF($A58="","",'Pricing Rules'!$B$9)</x:f>
      </x:c>
      <x:c r="AE58" s="363" t="str">
        <x:f>IF($A58="","",(AA58+AC58)/(1-AB58))</x:f>
      </x:c>
      <x:c r="AF58" s="363"/>
      <x:c r="AG58" s="363" t="str">
        <x:f>IF($A58="","",AA58/(1-AD58))</x:f>
      </x:c>
      <x:c r="AH58" s="363"/>
      <x:c r="AI58" s="363"/>
      <x:c r="AJ58" s="363" t="str">
        <x:f>IF($A58="","",IF(AI58&gt;0,IF(E58="Salla/Zid",AI58*(1-AB58)-AC58-Y58,IF(OR(E58="HungerStation",E58="ToYou",E58="The Chefz"),AI58*(1-AD58)-Y58,AI58-Y58)),""))</x:f>
      </x:c>
      <x:c r="AK58" s="388" t="str">
        <x:f>IF($A58="","",IF(Y58&gt;0,AJ58/Y58,""))</x:f>
      </x:c>
      <x:c r="AL58" s="364"/>
      <x:c r="AM58" s="365"/>
      <x:c r="AN58" s="389"/>
    </x:row>
    <x:row r="59">
      <x:c r="A59" s="361"/>
      <x:c r="B59" s="362"/>
      <x:c r="C59" s="362"/>
      <x:c r="D59" s="362"/>
      <x:c r="E59" s="362"/>
      <x:c r="F59" s="362"/>
      <x:c r="G59" s="362"/>
      <x:c r="H59" s="362"/>
      <x:c r="I59" s="363"/>
      <x:c r="J59" s="362"/>
      <x:c r="K59" s="362"/>
      <x:c r="L59" s="363"/>
      <x:c r="M59" s="362"/>
      <x:c r="N59" s="362"/>
      <x:c r="O59" s="363"/>
      <x:c r="P59" s="362"/>
      <x:c r="Q59" s="362"/>
      <x:c r="R59" s="363"/>
      <x:c r="S59" s="362"/>
      <x:c r="T59" s="362"/>
      <x:c r="U59" s="363"/>
      <x:c r="V59" s="363" t="str">
        <x:f>IF($A59="","",SUM(I59,L59,O59,R59,U59))</x:f>
      </x:c>
      <x:c r="W59" s="363" t="str">
        <x:f>IF($A59="","",'Pricing Rules'!$B$5)</x:f>
      </x:c>
      <x:c r="X59" s="363"/>
      <x:c r="Y59" s="363" t="str">
        <x:f>IF($A59="","",SUM(V59:X59))</x:f>
      </x:c>
      <x:c r="Z59" s="363" t="str">
        <x:f>IF($A59="","",Y59*'Pricing Rules'!$B$6)</x:f>
      </x:c>
      <x:c r="AA59" s="363" t="str">
        <x:f>IF($A59="","",Y59+Z59)</x:f>
      </x:c>
      <x:c r="AB59" s="388" t="str">
        <x:f>IF($A59="","",'Pricing Rules'!$B$7)</x:f>
      </x:c>
      <x:c r="AC59" s="363" t="str">
        <x:f>IF($A59="","",'Pricing Rules'!$B$8)</x:f>
      </x:c>
      <x:c r="AD59" s="388" t="str">
        <x:f>IF($A59="","",'Pricing Rules'!$B$9)</x:f>
      </x:c>
      <x:c r="AE59" s="363" t="str">
        <x:f>IF($A59="","",(AA59+AC59)/(1-AB59))</x:f>
      </x:c>
      <x:c r="AF59" s="363"/>
      <x:c r="AG59" s="363" t="str">
        <x:f>IF($A59="","",AA59/(1-AD59))</x:f>
      </x:c>
      <x:c r="AH59" s="363"/>
      <x:c r="AI59" s="363"/>
      <x:c r="AJ59" s="363" t="str">
        <x:f>IF($A59="","",IF(AI59&gt;0,IF(E59="Salla/Zid",AI59*(1-AB59)-AC59-Y59,IF(OR(E59="HungerStation",E59="ToYou",E59="The Chefz"),AI59*(1-AD59)-Y59,AI59-Y59)),""))</x:f>
      </x:c>
      <x:c r="AK59" s="388" t="str">
        <x:f>IF($A59="","",IF(Y59&gt;0,AJ59/Y59,""))</x:f>
      </x:c>
      <x:c r="AL59" s="364"/>
      <x:c r="AM59" s="365"/>
      <x:c r="AN59" s="389"/>
    </x:row>
    <x:row r="60">
      <x:c r="A60" s="361"/>
      <x:c r="B60" s="362"/>
      <x:c r="C60" s="362"/>
      <x:c r="D60" s="362"/>
      <x:c r="E60" s="362"/>
      <x:c r="F60" s="362"/>
      <x:c r="G60" s="362"/>
      <x:c r="H60" s="362"/>
      <x:c r="I60" s="363"/>
      <x:c r="J60" s="362"/>
      <x:c r="K60" s="362"/>
      <x:c r="L60" s="363"/>
      <x:c r="M60" s="362"/>
      <x:c r="N60" s="362"/>
      <x:c r="O60" s="363"/>
      <x:c r="P60" s="362"/>
      <x:c r="Q60" s="362"/>
      <x:c r="R60" s="363"/>
      <x:c r="S60" s="362"/>
      <x:c r="T60" s="362"/>
      <x:c r="U60" s="363"/>
      <x:c r="V60" s="363" t="str">
        <x:f>IF($A60="","",SUM(I60,L60,O60,R60,U60))</x:f>
      </x:c>
      <x:c r="W60" s="363" t="str">
        <x:f>IF($A60="","",'Pricing Rules'!$B$5)</x:f>
      </x:c>
      <x:c r="X60" s="363"/>
      <x:c r="Y60" s="363" t="str">
        <x:f>IF($A60="","",SUM(V60:X60))</x:f>
      </x:c>
      <x:c r="Z60" s="363" t="str">
        <x:f>IF($A60="","",Y60*'Pricing Rules'!$B$6)</x:f>
      </x:c>
      <x:c r="AA60" s="363" t="str">
        <x:f>IF($A60="","",Y60+Z60)</x:f>
      </x:c>
      <x:c r="AB60" s="388" t="str">
        <x:f>IF($A60="","",'Pricing Rules'!$B$7)</x:f>
      </x:c>
      <x:c r="AC60" s="363" t="str">
        <x:f>IF($A60="","",'Pricing Rules'!$B$8)</x:f>
      </x:c>
      <x:c r="AD60" s="388" t="str">
        <x:f>IF($A60="","",'Pricing Rules'!$B$9)</x:f>
      </x:c>
      <x:c r="AE60" s="363" t="str">
        <x:f>IF($A60="","",(AA60+AC60)/(1-AB60))</x:f>
      </x:c>
      <x:c r="AF60" s="363"/>
      <x:c r="AG60" s="363" t="str">
        <x:f>IF($A60="","",AA60/(1-AD60))</x:f>
      </x:c>
      <x:c r="AH60" s="363"/>
      <x:c r="AI60" s="363"/>
      <x:c r="AJ60" s="363" t="str">
        <x:f>IF($A60="","",IF(AI60&gt;0,IF(E60="Salla/Zid",AI60*(1-AB60)-AC60-Y60,IF(OR(E60="HungerStation",E60="ToYou",E60="The Chefz"),AI60*(1-AD60)-Y60,AI60-Y60)),""))</x:f>
      </x:c>
      <x:c r="AK60" s="388" t="str">
        <x:f>IF($A60="","",IF(Y60&gt;0,AJ60/Y60,""))</x:f>
      </x:c>
      <x:c r="AL60" s="364"/>
      <x:c r="AM60" s="365"/>
      <x:c r="AN60" s="389"/>
    </x:row>
    <x:row r="61">
      <x:c r="A61" s="361"/>
      <x:c r="B61" s="362"/>
      <x:c r="C61" s="362"/>
      <x:c r="D61" s="362"/>
      <x:c r="E61" s="362"/>
      <x:c r="F61" s="362"/>
      <x:c r="G61" s="362"/>
      <x:c r="H61" s="362"/>
      <x:c r="I61" s="363"/>
      <x:c r="J61" s="362"/>
      <x:c r="K61" s="362"/>
      <x:c r="L61" s="363"/>
      <x:c r="M61" s="362"/>
      <x:c r="N61" s="362"/>
      <x:c r="O61" s="363"/>
      <x:c r="P61" s="362"/>
      <x:c r="Q61" s="362"/>
      <x:c r="R61" s="363"/>
      <x:c r="S61" s="362"/>
      <x:c r="T61" s="362"/>
      <x:c r="U61" s="363"/>
      <x:c r="V61" s="363" t="str">
        <x:f>IF($A61="","",SUM(I61,L61,O61,R61,U61))</x:f>
      </x:c>
      <x:c r="W61" s="363" t="str">
        <x:f>IF($A61="","",'Pricing Rules'!$B$5)</x:f>
      </x:c>
      <x:c r="X61" s="363"/>
      <x:c r="Y61" s="363" t="str">
        <x:f>IF($A61="","",SUM(V61:X61))</x:f>
      </x:c>
      <x:c r="Z61" s="363" t="str">
        <x:f>IF($A61="","",Y61*'Pricing Rules'!$B$6)</x:f>
      </x:c>
      <x:c r="AA61" s="363" t="str">
        <x:f>IF($A61="","",Y61+Z61)</x:f>
      </x:c>
      <x:c r="AB61" s="388" t="str">
        <x:f>IF($A61="","",'Pricing Rules'!$B$7)</x:f>
      </x:c>
      <x:c r="AC61" s="363" t="str">
        <x:f>IF($A61="","",'Pricing Rules'!$B$8)</x:f>
      </x:c>
      <x:c r="AD61" s="388" t="str">
        <x:f>IF($A61="","",'Pricing Rules'!$B$9)</x:f>
      </x:c>
      <x:c r="AE61" s="363" t="str">
        <x:f>IF($A61="","",(AA61+AC61)/(1-AB61))</x:f>
      </x:c>
      <x:c r="AF61" s="363"/>
      <x:c r="AG61" s="363" t="str">
        <x:f>IF($A61="","",AA61/(1-AD61))</x:f>
      </x:c>
      <x:c r="AH61" s="363"/>
      <x:c r="AI61" s="363"/>
      <x:c r="AJ61" s="363" t="str">
        <x:f>IF($A61="","",IF(AI61&gt;0,IF(E61="Salla/Zid",AI61*(1-AB61)-AC61-Y61,IF(OR(E61="HungerStation",E61="ToYou",E61="The Chefz"),AI61*(1-AD61)-Y61,AI61-Y61)),""))</x:f>
      </x:c>
      <x:c r="AK61" s="388" t="str">
        <x:f>IF($A61="","",IF(Y61&gt;0,AJ61/Y61,""))</x:f>
      </x:c>
      <x:c r="AL61" s="364"/>
      <x:c r="AM61" s="365"/>
      <x:c r="AN61" s="389"/>
    </x:row>
    <x:row r="62">
      <x:c r="A62" s="361"/>
      <x:c r="B62" s="362"/>
      <x:c r="C62" s="362"/>
      <x:c r="D62" s="362"/>
      <x:c r="E62" s="362"/>
      <x:c r="F62" s="362"/>
      <x:c r="G62" s="362"/>
      <x:c r="H62" s="362"/>
      <x:c r="I62" s="363"/>
      <x:c r="J62" s="362"/>
      <x:c r="K62" s="362"/>
      <x:c r="L62" s="363"/>
      <x:c r="M62" s="362"/>
      <x:c r="N62" s="362"/>
      <x:c r="O62" s="363"/>
      <x:c r="P62" s="362"/>
      <x:c r="Q62" s="362"/>
      <x:c r="R62" s="363"/>
      <x:c r="S62" s="362"/>
      <x:c r="T62" s="362"/>
      <x:c r="U62" s="363"/>
      <x:c r="V62" s="363" t="str">
        <x:f>IF($A62="","",SUM(I62,L62,O62,R62,U62))</x:f>
      </x:c>
      <x:c r="W62" s="363" t="str">
        <x:f>IF($A62="","",'Pricing Rules'!$B$5)</x:f>
      </x:c>
      <x:c r="X62" s="363"/>
      <x:c r="Y62" s="363" t="str">
        <x:f>IF($A62="","",SUM(V62:X62))</x:f>
      </x:c>
      <x:c r="Z62" s="363" t="str">
        <x:f>IF($A62="","",Y62*'Pricing Rules'!$B$6)</x:f>
      </x:c>
      <x:c r="AA62" s="363" t="str">
        <x:f>IF($A62="","",Y62+Z62)</x:f>
      </x:c>
      <x:c r="AB62" s="388" t="str">
        <x:f>IF($A62="","",'Pricing Rules'!$B$7)</x:f>
      </x:c>
      <x:c r="AC62" s="363" t="str">
        <x:f>IF($A62="","",'Pricing Rules'!$B$8)</x:f>
      </x:c>
      <x:c r="AD62" s="388" t="str">
        <x:f>IF($A62="","",'Pricing Rules'!$B$9)</x:f>
      </x:c>
      <x:c r="AE62" s="363" t="str">
        <x:f>IF($A62="","",(AA62+AC62)/(1-AB62))</x:f>
      </x:c>
      <x:c r="AF62" s="363"/>
      <x:c r="AG62" s="363" t="str">
        <x:f>IF($A62="","",AA62/(1-AD62))</x:f>
      </x:c>
      <x:c r="AH62" s="363"/>
      <x:c r="AI62" s="363"/>
      <x:c r="AJ62" s="363" t="str">
        <x:f>IF($A62="","",IF(AI62&gt;0,IF(E62="Salla/Zid",AI62*(1-AB62)-AC62-Y62,IF(OR(E62="HungerStation",E62="ToYou",E62="The Chefz"),AI62*(1-AD62)-Y62,AI62-Y62)),""))</x:f>
      </x:c>
      <x:c r="AK62" s="388" t="str">
        <x:f>IF($A62="","",IF(Y62&gt;0,AJ62/Y62,""))</x:f>
      </x:c>
      <x:c r="AL62" s="364"/>
      <x:c r="AM62" s="365"/>
      <x:c r="AN62" s="389"/>
    </x:row>
    <x:row r="63">
      <x:c r="A63" s="361"/>
      <x:c r="B63" s="362"/>
      <x:c r="C63" s="362"/>
      <x:c r="D63" s="362"/>
      <x:c r="E63" s="362"/>
      <x:c r="F63" s="362"/>
      <x:c r="G63" s="362"/>
      <x:c r="H63" s="362"/>
      <x:c r="I63" s="363"/>
      <x:c r="J63" s="362"/>
      <x:c r="K63" s="362"/>
      <x:c r="L63" s="363"/>
      <x:c r="M63" s="362"/>
      <x:c r="N63" s="362"/>
      <x:c r="O63" s="363"/>
      <x:c r="P63" s="362"/>
      <x:c r="Q63" s="362"/>
      <x:c r="R63" s="363"/>
      <x:c r="S63" s="362"/>
      <x:c r="T63" s="362"/>
      <x:c r="U63" s="363"/>
      <x:c r="V63" s="363" t="str">
        <x:f>IF($A63="","",SUM(I63,L63,O63,R63,U63))</x:f>
      </x:c>
      <x:c r="W63" s="363" t="str">
        <x:f>IF($A63="","",'Pricing Rules'!$B$5)</x:f>
      </x:c>
      <x:c r="X63" s="363"/>
      <x:c r="Y63" s="363" t="str">
        <x:f>IF($A63="","",SUM(V63:X63))</x:f>
      </x:c>
      <x:c r="Z63" s="363" t="str">
        <x:f>IF($A63="","",Y63*'Pricing Rules'!$B$6)</x:f>
      </x:c>
      <x:c r="AA63" s="363" t="str">
        <x:f>IF($A63="","",Y63+Z63)</x:f>
      </x:c>
      <x:c r="AB63" s="388" t="str">
        <x:f>IF($A63="","",'Pricing Rules'!$B$7)</x:f>
      </x:c>
      <x:c r="AC63" s="363" t="str">
        <x:f>IF($A63="","",'Pricing Rules'!$B$8)</x:f>
      </x:c>
      <x:c r="AD63" s="388" t="str">
        <x:f>IF($A63="","",'Pricing Rules'!$B$9)</x:f>
      </x:c>
      <x:c r="AE63" s="363" t="str">
        <x:f>IF($A63="","",(AA63+AC63)/(1-AB63))</x:f>
      </x:c>
      <x:c r="AF63" s="363"/>
      <x:c r="AG63" s="363" t="str">
        <x:f>IF($A63="","",AA63/(1-AD63))</x:f>
      </x:c>
      <x:c r="AH63" s="363"/>
      <x:c r="AI63" s="363"/>
      <x:c r="AJ63" s="363" t="str">
        <x:f>IF($A63="","",IF(AI63&gt;0,IF(E63="Salla/Zid",AI63*(1-AB63)-AC63-Y63,IF(OR(E63="HungerStation",E63="ToYou",E63="The Chefz"),AI63*(1-AD63)-Y63,AI63-Y63)),""))</x:f>
      </x:c>
      <x:c r="AK63" s="388" t="str">
        <x:f>IF($A63="","",IF(Y63&gt;0,AJ63/Y63,""))</x:f>
      </x:c>
      <x:c r="AL63" s="364"/>
      <x:c r="AM63" s="365"/>
      <x:c r="AN63" s="389"/>
    </x:row>
    <x:row r="64">
      <x:c r="A64" s="361"/>
      <x:c r="B64" s="362"/>
      <x:c r="C64" s="362"/>
      <x:c r="D64" s="362"/>
      <x:c r="E64" s="362"/>
      <x:c r="F64" s="362"/>
      <x:c r="G64" s="362"/>
      <x:c r="H64" s="362"/>
      <x:c r="I64" s="363"/>
      <x:c r="J64" s="362"/>
      <x:c r="K64" s="362"/>
      <x:c r="L64" s="363"/>
      <x:c r="M64" s="362"/>
      <x:c r="N64" s="362"/>
      <x:c r="O64" s="363"/>
      <x:c r="P64" s="362"/>
      <x:c r="Q64" s="362"/>
      <x:c r="R64" s="363"/>
      <x:c r="S64" s="362"/>
      <x:c r="T64" s="362"/>
      <x:c r="U64" s="363"/>
      <x:c r="V64" s="363" t="str">
        <x:f>IF($A64="","",SUM(I64,L64,O64,R64,U64))</x:f>
      </x:c>
      <x:c r="W64" s="363" t="str">
        <x:f>IF($A64="","",'Pricing Rules'!$B$5)</x:f>
      </x:c>
      <x:c r="X64" s="363"/>
      <x:c r="Y64" s="363" t="str">
        <x:f>IF($A64="","",SUM(V64:X64))</x:f>
      </x:c>
      <x:c r="Z64" s="363" t="str">
        <x:f>IF($A64="","",Y64*'Pricing Rules'!$B$6)</x:f>
      </x:c>
      <x:c r="AA64" s="363" t="str">
        <x:f>IF($A64="","",Y64+Z64)</x:f>
      </x:c>
      <x:c r="AB64" s="388" t="str">
        <x:f>IF($A64="","",'Pricing Rules'!$B$7)</x:f>
      </x:c>
      <x:c r="AC64" s="363" t="str">
        <x:f>IF($A64="","",'Pricing Rules'!$B$8)</x:f>
      </x:c>
      <x:c r="AD64" s="388" t="str">
        <x:f>IF($A64="","",'Pricing Rules'!$B$9)</x:f>
      </x:c>
      <x:c r="AE64" s="363" t="str">
        <x:f>IF($A64="","",(AA64+AC64)/(1-AB64))</x:f>
      </x:c>
      <x:c r="AF64" s="363"/>
      <x:c r="AG64" s="363" t="str">
        <x:f>IF($A64="","",AA64/(1-AD64))</x:f>
      </x:c>
      <x:c r="AH64" s="363"/>
      <x:c r="AI64" s="363"/>
      <x:c r="AJ64" s="363" t="str">
        <x:f>IF($A64="","",IF(AI64&gt;0,IF(E64="Salla/Zid",AI64*(1-AB64)-AC64-Y64,IF(OR(E64="HungerStation",E64="ToYou",E64="The Chefz"),AI64*(1-AD64)-Y64,AI64-Y64)),""))</x:f>
      </x:c>
      <x:c r="AK64" s="388" t="str">
        <x:f>IF($A64="","",IF(Y64&gt;0,AJ64/Y64,""))</x:f>
      </x:c>
      <x:c r="AL64" s="364"/>
      <x:c r="AM64" s="365"/>
      <x:c r="AN64" s="389"/>
    </x:row>
    <x:row r="65">
      <x:c r="A65" s="361"/>
      <x:c r="B65" s="362"/>
      <x:c r="C65" s="362"/>
      <x:c r="D65" s="362"/>
      <x:c r="E65" s="362"/>
      <x:c r="F65" s="362"/>
      <x:c r="G65" s="362"/>
      <x:c r="H65" s="362"/>
      <x:c r="I65" s="363"/>
      <x:c r="J65" s="362"/>
      <x:c r="K65" s="362"/>
      <x:c r="L65" s="363"/>
      <x:c r="M65" s="362"/>
      <x:c r="N65" s="362"/>
      <x:c r="O65" s="363"/>
      <x:c r="P65" s="362"/>
      <x:c r="Q65" s="362"/>
      <x:c r="R65" s="363"/>
      <x:c r="S65" s="362"/>
      <x:c r="T65" s="362"/>
      <x:c r="U65" s="363"/>
      <x:c r="V65" s="363" t="str">
        <x:f>IF($A65="","",SUM(I65,L65,O65,R65,U65))</x:f>
      </x:c>
      <x:c r="W65" s="363" t="str">
        <x:f>IF($A65="","",'Pricing Rules'!$B$5)</x:f>
      </x:c>
      <x:c r="X65" s="363"/>
      <x:c r="Y65" s="363" t="str">
        <x:f>IF($A65="","",SUM(V65:X65))</x:f>
      </x:c>
      <x:c r="Z65" s="363" t="str">
        <x:f>IF($A65="","",Y65*'Pricing Rules'!$B$6)</x:f>
      </x:c>
      <x:c r="AA65" s="363" t="str">
        <x:f>IF($A65="","",Y65+Z65)</x:f>
      </x:c>
      <x:c r="AB65" s="388" t="str">
        <x:f>IF($A65="","",'Pricing Rules'!$B$7)</x:f>
      </x:c>
      <x:c r="AC65" s="363" t="str">
        <x:f>IF($A65="","",'Pricing Rules'!$B$8)</x:f>
      </x:c>
      <x:c r="AD65" s="388" t="str">
        <x:f>IF($A65="","",'Pricing Rules'!$B$9)</x:f>
      </x:c>
      <x:c r="AE65" s="363" t="str">
        <x:f>IF($A65="","",(AA65+AC65)/(1-AB65))</x:f>
      </x:c>
      <x:c r="AF65" s="363"/>
      <x:c r="AG65" s="363" t="str">
        <x:f>IF($A65="","",AA65/(1-AD65))</x:f>
      </x:c>
      <x:c r="AH65" s="363"/>
      <x:c r="AI65" s="363"/>
      <x:c r="AJ65" s="363" t="str">
        <x:f>IF($A65="","",IF(AI65&gt;0,IF(E65="Salla/Zid",AI65*(1-AB65)-AC65-Y65,IF(OR(E65="HungerStation",E65="ToYou",E65="The Chefz"),AI65*(1-AD65)-Y65,AI65-Y65)),""))</x:f>
      </x:c>
      <x:c r="AK65" s="388" t="str">
        <x:f>IF($A65="","",IF(Y65&gt;0,AJ65/Y65,""))</x:f>
      </x:c>
      <x:c r="AL65" s="364"/>
      <x:c r="AM65" s="365"/>
      <x:c r="AN65" s="389"/>
    </x:row>
    <x:row r="66">
      <x:c r="A66" s="361"/>
      <x:c r="B66" s="362"/>
      <x:c r="C66" s="362"/>
      <x:c r="D66" s="362"/>
      <x:c r="E66" s="362"/>
      <x:c r="F66" s="362"/>
      <x:c r="G66" s="362"/>
      <x:c r="H66" s="362"/>
      <x:c r="I66" s="363"/>
      <x:c r="J66" s="362"/>
      <x:c r="K66" s="362"/>
      <x:c r="L66" s="363"/>
      <x:c r="M66" s="362"/>
      <x:c r="N66" s="362"/>
      <x:c r="O66" s="363"/>
      <x:c r="P66" s="362"/>
      <x:c r="Q66" s="362"/>
      <x:c r="R66" s="363"/>
      <x:c r="S66" s="362"/>
      <x:c r="T66" s="362"/>
      <x:c r="U66" s="363"/>
      <x:c r="V66" s="363" t="str">
        <x:f>IF($A66="","",SUM(I66,L66,O66,R66,U66))</x:f>
      </x:c>
      <x:c r="W66" s="363" t="str">
        <x:f>IF($A66="","",'Pricing Rules'!$B$5)</x:f>
      </x:c>
      <x:c r="X66" s="363"/>
      <x:c r="Y66" s="363" t="str">
        <x:f>IF($A66="","",SUM(V66:X66))</x:f>
      </x:c>
      <x:c r="Z66" s="363" t="str">
        <x:f>IF($A66="","",Y66*'Pricing Rules'!$B$6)</x:f>
      </x:c>
      <x:c r="AA66" s="363" t="str">
        <x:f>IF($A66="","",Y66+Z66)</x:f>
      </x:c>
      <x:c r="AB66" s="388" t="str">
        <x:f>IF($A66="","",'Pricing Rules'!$B$7)</x:f>
      </x:c>
      <x:c r="AC66" s="363" t="str">
        <x:f>IF($A66="","",'Pricing Rules'!$B$8)</x:f>
      </x:c>
      <x:c r="AD66" s="388" t="str">
        <x:f>IF($A66="","",'Pricing Rules'!$B$9)</x:f>
      </x:c>
      <x:c r="AE66" s="363" t="str">
        <x:f>IF($A66="","",(AA66+AC66)/(1-AB66))</x:f>
      </x:c>
      <x:c r="AF66" s="363"/>
      <x:c r="AG66" s="363" t="str">
        <x:f>IF($A66="","",AA66/(1-AD66))</x:f>
      </x:c>
      <x:c r="AH66" s="363"/>
      <x:c r="AI66" s="363"/>
      <x:c r="AJ66" s="363" t="str">
        <x:f>IF($A66="","",IF(AI66&gt;0,IF(E66="Salla/Zid",AI66*(1-AB66)-AC66-Y66,IF(OR(E66="HungerStation",E66="ToYou",E66="The Chefz"),AI66*(1-AD66)-Y66,AI66-Y66)),""))</x:f>
      </x:c>
      <x:c r="AK66" s="388" t="str">
        <x:f>IF($A66="","",IF(Y66&gt;0,AJ66/Y66,""))</x:f>
      </x:c>
      <x:c r="AL66" s="364"/>
      <x:c r="AM66" s="365"/>
      <x:c r="AN66" s="389"/>
    </x:row>
    <x:row r="67">
      <x:c r="A67" s="361"/>
      <x:c r="B67" s="362"/>
      <x:c r="C67" s="362"/>
      <x:c r="D67" s="362"/>
      <x:c r="E67" s="362"/>
      <x:c r="F67" s="362"/>
      <x:c r="G67" s="362"/>
      <x:c r="H67" s="362"/>
      <x:c r="I67" s="363"/>
      <x:c r="J67" s="362"/>
      <x:c r="K67" s="362"/>
      <x:c r="L67" s="363"/>
      <x:c r="M67" s="362"/>
      <x:c r="N67" s="362"/>
      <x:c r="O67" s="363"/>
      <x:c r="P67" s="362"/>
      <x:c r="Q67" s="362"/>
      <x:c r="R67" s="363"/>
      <x:c r="S67" s="362"/>
      <x:c r="T67" s="362"/>
      <x:c r="U67" s="363"/>
      <x:c r="V67" s="363" t="str">
        <x:f>IF($A67="","",SUM(I67,L67,O67,R67,U67))</x:f>
      </x:c>
      <x:c r="W67" s="363" t="str">
        <x:f>IF($A67="","",'Pricing Rules'!$B$5)</x:f>
      </x:c>
      <x:c r="X67" s="363"/>
      <x:c r="Y67" s="363" t="str">
        <x:f>IF($A67="","",SUM(V67:X67))</x:f>
      </x:c>
      <x:c r="Z67" s="363" t="str">
        <x:f>IF($A67="","",Y67*'Pricing Rules'!$B$6)</x:f>
      </x:c>
      <x:c r="AA67" s="363" t="str">
        <x:f>IF($A67="","",Y67+Z67)</x:f>
      </x:c>
      <x:c r="AB67" s="388" t="str">
        <x:f>IF($A67="","",'Pricing Rules'!$B$7)</x:f>
      </x:c>
      <x:c r="AC67" s="363" t="str">
        <x:f>IF($A67="","",'Pricing Rules'!$B$8)</x:f>
      </x:c>
      <x:c r="AD67" s="388" t="str">
        <x:f>IF($A67="","",'Pricing Rules'!$B$9)</x:f>
      </x:c>
      <x:c r="AE67" s="363" t="str">
        <x:f>IF($A67="","",(AA67+AC67)/(1-AB67))</x:f>
      </x:c>
      <x:c r="AF67" s="363"/>
      <x:c r="AG67" s="363" t="str">
        <x:f>IF($A67="","",AA67/(1-AD67))</x:f>
      </x:c>
      <x:c r="AH67" s="363"/>
      <x:c r="AI67" s="363"/>
      <x:c r="AJ67" s="363" t="str">
        <x:f>IF($A67="","",IF(AI67&gt;0,IF(E67="Salla/Zid",AI67*(1-AB67)-AC67-Y67,IF(OR(E67="HungerStation",E67="ToYou",E67="The Chefz"),AI67*(1-AD67)-Y67,AI67-Y67)),""))</x:f>
      </x:c>
      <x:c r="AK67" s="388" t="str">
        <x:f>IF($A67="","",IF(Y67&gt;0,AJ67/Y67,""))</x:f>
      </x:c>
      <x:c r="AL67" s="364"/>
      <x:c r="AM67" s="365"/>
      <x:c r="AN67" s="389"/>
    </x:row>
    <x:row r="68">
      <x:c r="A68" s="361"/>
      <x:c r="B68" s="362"/>
      <x:c r="C68" s="362"/>
      <x:c r="D68" s="362"/>
      <x:c r="E68" s="362"/>
      <x:c r="F68" s="362"/>
      <x:c r="G68" s="362"/>
      <x:c r="H68" s="362"/>
      <x:c r="I68" s="363"/>
      <x:c r="J68" s="362"/>
      <x:c r="K68" s="362"/>
      <x:c r="L68" s="363"/>
      <x:c r="M68" s="362"/>
      <x:c r="N68" s="362"/>
      <x:c r="O68" s="363"/>
      <x:c r="P68" s="362"/>
      <x:c r="Q68" s="362"/>
      <x:c r="R68" s="363"/>
      <x:c r="S68" s="362"/>
      <x:c r="T68" s="362"/>
      <x:c r="U68" s="363"/>
      <x:c r="V68" s="363" t="str">
        <x:f>IF($A68="","",SUM(I68,L68,O68,R68,U68))</x:f>
      </x:c>
      <x:c r="W68" s="363" t="str">
        <x:f>IF($A68="","",'Pricing Rules'!$B$5)</x:f>
      </x:c>
      <x:c r="X68" s="363"/>
      <x:c r="Y68" s="363" t="str">
        <x:f>IF($A68="","",SUM(V68:X68))</x:f>
      </x:c>
      <x:c r="Z68" s="363" t="str">
        <x:f>IF($A68="","",Y68*'Pricing Rules'!$B$6)</x:f>
      </x:c>
      <x:c r="AA68" s="363" t="str">
        <x:f>IF($A68="","",Y68+Z68)</x:f>
      </x:c>
      <x:c r="AB68" s="388" t="str">
        <x:f>IF($A68="","",'Pricing Rules'!$B$7)</x:f>
      </x:c>
      <x:c r="AC68" s="363" t="str">
        <x:f>IF($A68="","",'Pricing Rules'!$B$8)</x:f>
      </x:c>
      <x:c r="AD68" s="388" t="str">
        <x:f>IF($A68="","",'Pricing Rules'!$B$9)</x:f>
      </x:c>
      <x:c r="AE68" s="363" t="str">
        <x:f>IF($A68="","",(AA68+AC68)/(1-AB68))</x:f>
      </x:c>
      <x:c r="AF68" s="363"/>
      <x:c r="AG68" s="363" t="str">
        <x:f>IF($A68="","",AA68/(1-AD68))</x:f>
      </x:c>
      <x:c r="AH68" s="363"/>
      <x:c r="AI68" s="363"/>
      <x:c r="AJ68" s="363" t="str">
        <x:f>IF($A68="","",IF(AI68&gt;0,IF(E68="Salla/Zid",AI68*(1-AB68)-AC68-Y68,IF(OR(E68="HungerStation",E68="ToYou",E68="The Chefz"),AI68*(1-AD68)-Y68,AI68-Y68)),""))</x:f>
      </x:c>
      <x:c r="AK68" s="388" t="str">
        <x:f>IF($A68="","",IF(Y68&gt;0,AJ68/Y68,""))</x:f>
      </x:c>
      <x:c r="AL68" s="364"/>
      <x:c r="AM68" s="365"/>
      <x:c r="AN68" s="389"/>
    </x:row>
    <x:row r="69">
      <x:c r="A69" s="361"/>
      <x:c r="B69" s="362"/>
      <x:c r="C69" s="362"/>
      <x:c r="D69" s="362"/>
      <x:c r="E69" s="362"/>
      <x:c r="F69" s="362"/>
      <x:c r="G69" s="362"/>
      <x:c r="H69" s="362"/>
      <x:c r="I69" s="363"/>
      <x:c r="J69" s="362"/>
      <x:c r="K69" s="362"/>
      <x:c r="L69" s="363"/>
      <x:c r="M69" s="362"/>
      <x:c r="N69" s="362"/>
      <x:c r="O69" s="363"/>
      <x:c r="P69" s="362"/>
      <x:c r="Q69" s="362"/>
      <x:c r="R69" s="363"/>
      <x:c r="S69" s="362"/>
      <x:c r="T69" s="362"/>
      <x:c r="U69" s="363"/>
      <x:c r="V69" s="363" t="str">
        <x:f>IF($A69="","",SUM(I69,L69,O69,R69,U69))</x:f>
      </x:c>
      <x:c r="W69" s="363" t="str">
        <x:f>IF($A69="","",'Pricing Rules'!$B$5)</x:f>
      </x:c>
      <x:c r="X69" s="363"/>
      <x:c r="Y69" s="363" t="str">
        <x:f>IF($A69="","",SUM(V69:X69))</x:f>
      </x:c>
      <x:c r="Z69" s="363" t="str">
        <x:f>IF($A69="","",Y69*'Pricing Rules'!$B$6)</x:f>
      </x:c>
      <x:c r="AA69" s="363" t="str">
        <x:f>IF($A69="","",Y69+Z69)</x:f>
      </x:c>
      <x:c r="AB69" s="388" t="str">
        <x:f>IF($A69="","",'Pricing Rules'!$B$7)</x:f>
      </x:c>
      <x:c r="AC69" s="363" t="str">
        <x:f>IF($A69="","",'Pricing Rules'!$B$8)</x:f>
      </x:c>
      <x:c r="AD69" s="388" t="str">
        <x:f>IF($A69="","",'Pricing Rules'!$B$9)</x:f>
      </x:c>
      <x:c r="AE69" s="363" t="str">
        <x:f>IF($A69="","",(AA69+AC69)/(1-AB69))</x:f>
      </x:c>
      <x:c r="AF69" s="363"/>
      <x:c r="AG69" s="363" t="str">
        <x:f>IF($A69="","",AA69/(1-AD69))</x:f>
      </x:c>
      <x:c r="AH69" s="363"/>
      <x:c r="AI69" s="363"/>
      <x:c r="AJ69" s="363" t="str">
        <x:f>IF($A69="","",IF(AI69&gt;0,IF(E69="Salla/Zid",AI69*(1-AB69)-AC69-Y69,IF(OR(E69="HungerStation",E69="ToYou",E69="The Chefz"),AI69*(1-AD69)-Y69,AI69-Y69)),""))</x:f>
      </x:c>
      <x:c r="AK69" s="388" t="str">
        <x:f>IF($A69="","",IF(Y69&gt;0,AJ69/Y69,""))</x:f>
      </x:c>
      <x:c r="AL69" s="364"/>
      <x:c r="AM69" s="365"/>
      <x:c r="AN69" s="389"/>
    </x:row>
    <x:row r="70">
      <x:c r="A70" s="361"/>
      <x:c r="B70" s="362"/>
      <x:c r="C70" s="362"/>
      <x:c r="D70" s="362"/>
      <x:c r="E70" s="362"/>
      <x:c r="F70" s="362"/>
      <x:c r="G70" s="362"/>
      <x:c r="H70" s="362"/>
      <x:c r="I70" s="363"/>
      <x:c r="J70" s="362"/>
      <x:c r="K70" s="362"/>
      <x:c r="L70" s="363"/>
      <x:c r="M70" s="362"/>
      <x:c r="N70" s="362"/>
      <x:c r="O70" s="363"/>
      <x:c r="P70" s="362"/>
      <x:c r="Q70" s="362"/>
      <x:c r="R70" s="363"/>
      <x:c r="S70" s="362"/>
      <x:c r="T70" s="362"/>
      <x:c r="U70" s="363"/>
      <x:c r="V70" s="363" t="str">
        <x:f>IF($A70="","",SUM(I70,L70,O70,R70,U70))</x:f>
      </x:c>
      <x:c r="W70" s="363" t="str">
        <x:f>IF($A70="","",'Pricing Rules'!$B$5)</x:f>
      </x:c>
      <x:c r="X70" s="363"/>
      <x:c r="Y70" s="363" t="str">
        <x:f>IF($A70="","",SUM(V70:X70))</x:f>
      </x:c>
      <x:c r="Z70" s="363" t="str">
        <x:f>IF($A70="","",Y70*'Pricing Rules'!$B$6)</x:f>
      </x:c>
      <x:c r="AA70" s="363" t="str">
        <x:f>IF($A70="","",Y70+Z70)</x:f>
      </x:c>
      <x:c r="AB70" s="388" t="str">
        <x:f>IF($A70="","",'Pricing Rules'!$B$7)</x:f>
      </x:c>
      <x:c r="AC70" s="363" t="str">
        <x:f>IF($A70="","",'Pricing Rules'!$B$8)</x:f>
      </x:c>
      <x:c r="AD70" s="388" t="str">
        <x:f>IF($A70="","",'Pricing Rules'!$B$9)</x:f>
      </x:c>
      <x:c r="AE70" s="363" t="str">
        <x:f>IF($A70="","",(AA70+AC70)/(1-AB70))</x:f>
      </x:c>
      <x:c r="AF70" s="363"/>
      <x:c r="AG70" s="363" t="str">
        <x:f>IF($A70="","",AA70/(1-AD70))</x:f>
      </x:c>
      <x:c r="AH70" s="363"/>
      <x:c r="AI70" s="363"/>
      <x:c r="AJ70" s="363" t="str">
        <x:f>IF($A70="","",IF(AI70&gt;0,IF(E70="Salla/Zid",AI70*(1-AB70)-AC70-Y70,IF(OR(E70="HungerStation",E70="ToYou",E70="The Chefz"),AI70*(1-AD70)-Y70,AI70-Y70)),""))</x:f>
      </x:c>
      <x:c r="AK70" s="388" t="str">
        <x:f>IF($A70="","",IF(Y70&gt;0,AJ70/Y70,""))</x:f>
      </x:c>
      <x:c r="AL70" s="364"/>
      <x:c r="AM70" s="365"/>
      <x:c r="AN70" s="389"/>
    </x:row>
    <x:row r="71">
      <x:c r="A71" s="361"/>
      <x:c r="B71" s="362"/>
      <x:c r="C71" s="362"/>
      <x:c r="D71" s="362"/>
      <x:c r="E71" s="362"/>
      <x:c r="F71" s="362"/>
      <x:c r="G71" s="362"/>
      <x:c r="H71" s="362"/>
      <x:c r="I71" s="363"/>
      <x:c r="J71" s="362"/>
      <x:c r="K71" s="362"/>
      <x:c r="L71" s="363"/>
      <x:c r="M71" s="362"/>
      <x:c r="N71" s="362"/>
      <x:c r="O71" s="363"/>
      <x:c r="P71" s="362"/>
      <x:c r="Q71" s="362"/>
      <x:c r="R71" s="363"/>
      <x:c r="S71" s="362"/>
      <x:c r="T71" s="362"/>
      <x:c r="U71" s="363"/>
      <x:c r="V71" s="363" t="str">
        <x:f>IF($A71="","",SUM(I71,L71,O71,R71,U71))</x:f>
      </x:c>
      <x:c r="W71" s="363" t="str">
        <x:f>IF($A71="","",'Pricing Rules'!$B$5)</x:f>
      </x:c>
      <x:c r="X71" s="363"/>
      <x:c r="Y71" s="363" t="str">
        <x:f>IF($A71="","",SUM(V71:X71))</x:f>
      </x:c>
      <x:c r="Z71" s="363" t="str">
        <x:f>IF($A71="","",Y71*'Pricing Rules'!$B$6)</x:f>
      </x:c>
      <x:c r="AA71" s="363" t="str">
        <x:f>IF($A71="","",Y71+Z71)</x:f>
      </x:c>
      <x:c r="AB71" s="388" t="str">
        <x:f>IF($A71="","",'Pricing Rules'!$B$7)</x:f>
      </x:c>
      <x:c r="AC71" s="363" t="str">
        <x:f>IF($A71="","",'Pricing Rules'!$B$8)</x:f>
      </x:c>
      <x:c r="AD71" s="388" t="str">
        <x:f>IF($A71="","",'Pricing Rules'!$B$9)</x:f>
      </x:c>
      <x:c r="AE71" s="363" t="str">
        <x:f>IF($A71="","",(AA71+AC71)/(1-AB71))</x:f>
      </x:c>
      <x:c r="AF71" s="363"/>
      <x:c r="AG71" s="363" t="str">
        <x:f>IF($A71="","",AA71/(1-AD71))</x:f>
      </x:c>
      <x:c r="AH71" s="363"/>
      <x:c r="AI71" s="363"/>
      <x:c r="AJ71" s="363" t="str">
        <x:f>IF($A71="","",IF(AI71&gt;0,IF(E71="Salla/Zid",AI71*(1-AB71)-AC71-Y71,IF(OR(E71="HungerStation",E71="ToYou",E71="The Chefz"),AI71*(1-AD71)-Y71,AI71-Y71)),""))</x:f>
      </x:c>
      <x:c r="AK71" s="388" t="str">
        <x:f>IF($A71="","",IF(Y71&gt;0,AJ71/Y71,""))</x:f>
      </x:c>
      <x:c r="AL71" s="364"/>
      <x:c r="AM71" s="365"/>
      <x:c r="AN71" s="389"/>
    </x:row>
    <x:row r="72">
      <x:c r="A72" s="361"/>
      <x:c r="B72" s="362"/>
      <x:c r="C72" s="362"/>
      <x:c r="D72" s="362"/>
      <x:c r="E72" s="362"/>
      <x:c r="F72" s="362"/>
      <x:c r="G72" s="362"/>
      <x:c r="H72" s="362"/>
      <x:c r="I72" s="363"/>
      <x:c r="J72" s="362"/>
      <x:c r="K72" s="362"/>
      <x:c r="L72" s="363"/>
      <x:c r="M72" s="362"/>
      <x:c r="N72" s="362"/>
      <x:c r="O72" s="363"/>
      <x:c r="P72" s="362"/>
      <x:c r="Q72" s="362"/>
      <x:c r="R72" s="363"/>
      <x:c r="S72" s="362"/>
      <x:c r="T72" s="362"/>
      <x:c r="U72" s="363"/>
      <x:c r="V72" s="363" t="str">
        <x:f>IF($A72="","",SUM(I72,L72,O72,R72,U72))</x:f>
      </x:c>
      <x:c r="W72" s="363" t="str">
        <x:f>IF($A72="","",'Pricing Rules'!$B$5)</x:f>
      </x:c>
      <x:c r="X72" s="363"/>
      <x:c r="Y72" s="363" t="str">
        <x:f>IF($A72="","",SUM(V72:X72))</x:f>
      </x:c>
      <x:c r="Z72" s="363" t="str">
        <x:f>IF($A72="","",Y72*'Pricing Rules'!$B$6)</x:f>
      </x:c>
      <x:c r="AA72" s="363" t="str">
        <x:f>IF($A72="","",Y72+Z72)</x:f>
      </x:c>
      <x:c r="AB72" s="388" t="str">
        <x:f>IF($A72="","",'Pricing Rules'!$B$7)</x:f>
      </x:c>
      <x:c r="AC72" s="363" t="str">
        <x:f>IF($A72="","",'Pricing Rules'!$B$8)</x:f>
      </x:c>
      <x:c r="AD72" s="388" t="str">
        <x:f>IF($A72="","",'Pricing Rules'!$B$9)</x:f>
      </x:c>
      <x:c r="AE72" s="363" t="str">
        <x:f>IF($A72="","",(AA72+AC72)/(1-AB72))</x:f>
      </x:c>
      <x:c r="AF72" s="363"/>
      <x:c r="AG72" s="363" t="str">
        <x:f>IF($A72="","",AA72/(1-AD72))</x:f>
      </x:c>
      <x:c r="AH72" s="363"/>
      <x:c r="AI72" s="363"/>
      <x:c r="AJ72" s="363" t="str">
        <x:f>IF($A72="","",IF(AI72&gt;0,IF(E72="Salla/Zid",AI72*(1-AB72)-AC72-Y72,IF(OR(E72="HungerStation",E72="ToYou",E72="The Chefz"),AI72*(1-AD72)-Y72,AI72-Y72)),""))</x:f>
      </x:c>
      <x:c r="AK72" s="388" t="str">
        <x:f>IF($A72="","",IF(Y72&gt;0,AJ72/Y72,""))</x:f>
      </x:c>
      <x:c r="AL72" s="364"/>
      <x:c r="AM72" s="365"/>
      <x:c r="AN72" s="389"/>
    </x:row>
    <x:row r="73">
      <x:c r="A73" s="361"/>
      <x:c r="B73" s="362"/>
      <x:c r="C73" s="362"/>
      <x:c r="D73" s="362"/>
      <x:c r="E73" s="362"/>
      <x:c r="F73" s="362"/>
      <x:c r="G73" s="362"/>
      <x:c r="H73" s="362"/>
      <x:c r="I73" s="363"/>
      <x:c r="J73" s="362"/>
      <x:c r="K73" s="362"/>
      <x:c r="L73" s="363"/>
      <x:c r="M73" s="362"/>
      <x:c r="N73" s="362"/>
      <x:c r="O73" s="363"/>
      <x:c r="P73" s="362"/>
      <x:c r="Q73" s="362"/>
      <x:c r="R73" s="363"/>
      <x:c r="S73" s="362"/>
      <x:c r="T73" s="362"/>
      <x:c r="U73" s="363"/>
      <x:c r="V73" s="363" t="str">
        <x:f>IF($A73="","",SUM(I73,L73,O73,R73,U73))</x:f>
      </x:c>
      <x:c r="W73" s="363" t="str">
        <x:f>IF($A73="","",'Pricing Rules'!$B$5)</x:f>
      </x:c>
      <x:c r="X73" s="363"/>
      <x:c r="Y73" s="363" t="str">
        <x:f>IF($A73="","",SUM(V73:X73))</x:f>
      </x:c>
      <x:c r="Z73" s="363" t="str">
        <x:f>IF($A73="","",Y73*'Pricing Rules'!$B$6)</x:f>
      </x:c>
      <x:c r="AA73" s="363" t="str">
        <x:f>IF($A73="","",Y73+Z73)</x:f>
      </x:c>
      <x:c r="AB73" s="388" t="str">
        <x:f>IF($A73="","",'Pricing Rules'!$B$7)</x:f>
      </x:c>
      <x:c r="AC73" s="363" t="str">
        <x:f>IF($A73="","",'Pricing Rules'!$B$8)</x:f>
      </x:c>
      <x:c r="AD73" s="388" t="str">
        <x:f>IF($A73="","",'Pricing Rules'!$B$9)</x:f>
      </x:c>
      <x:c r="AE73" s="363" t="str">
        <x:f>IF($A73="","",(AA73+AC73)/(1-AB73))</x:f>
      </x:c>
      <x:c r="AF73" s="363"/>
      <x:c r="AG73" s="363" t="str">
        <x:f>IF($A73="","",AA73/(1-AD73))</x:f>
      </x:c>
      <x:c r="AH73" s="363"/>
      <x:c r="AI73" s="363"/>
      <x:c r="AJ73" s="363" t="str">
        <x:f>IF($A73="","",IF(AI73&gt;0,IF(E73="Salla/Zid",AI73*(1-AB73)-AC73-Y73,IF(OR(E73="HungerStation",E73="ToYou",E73="The Chefz"),AI73*(1-AD73)-Y73,AI73-Y73)),""))</x:f>
      </x:c>
      <x:c r="AK73" s="388" t="str">
        <x:f>IF($A73="","",IF(Y73&gt;0,AJ73/Y73,""))</x:f>
      </x:c>
      <x:c r="AL73" s="364"/>
      <x:c r="AM73" s="365"/>
      <x:c r="AN73" s="389"/>
    </x:row>
    <x:row r="74">
      <x:c r="A74" s="361"/>
      <x:c r="B74" s="362"/>
      <x:c r="C74" s="362"/>
      <x:c r="D74" s="362"/>
      <x:c r="E74" s="362"/>
      <x:c r="F74" s="362"/>
      <x:c r="G74" s="362"/>
      <x:c r="H74" s="362"/>
      <x:c r="I74" s="363"/>
      <x:c r="J74" s="362"/>
      <x:c r="K74" s="362"/>
      <x:c r="L74" s="363"/>
      <x:c r="M74" s="362"/>
      <x:c r="N74" s="362"/>
      <x:c r="O74" s="363"/>
      <x:c r="P74" s="362"/>
      <x:c r="Q74" s="362"/>
      <x:c r="R74" s="363"/>
      <x:c r="S74" s="362"/>
      <x:c r="T74" s="362"/>
      <x:c r="U74" s="363"/>
      <x:c r="V74" s="363" t="str">
        <x:f>IF($A74="","",SUM(I74,L74,O74,R74,U74))</x:f>
      </x:c>
      <x:c r="W74" s="363" t="str">
        <x:f>IF($A74="","",'Pricing Rules'!$B$5)</x:f>
      </x:c>
      <x:c r="X74" s="363"/>
      <x:c r="Y74" s="363" t="str">
        <x:f>IF($A74="","",SUM(V74:X74))</x:f>
      </x:c>
      <x:c r="Z74" s="363" t="str">
        <x:f>IF($A74="","",Y74*'Pricing Rules'!$B$6)</x:f>
      </x:c>
      <x:c r="AA74" s="363" t="str">
        <x:f>IF($A74="","",Y74+Z74)</x:f>
      </x:c>
      <x:c r="AB74" s="388" t="str">
        <x:f>IF($A74="","",'Pricing Rules'!$B$7)</x:f>
      </x:c>
      <x:c r="AC74" s="363" t="str">
        <x:f>IF($A74="","",'Pricing Rules'!$B$8)</x:f>
      </x:c>
      <x:c r="AD74" s="388" t="str">
        <x:f>IF($A74="","",'Pricing Rules'!$B$9)</x:f>
      </x:c>
      <x:c r="AE74" s="363" t="str">
        <x:f>IF($A74="","",(AA74+AC74)/(1-AB74))</x:f>
      </x:c>
      <x:c r="AF74" s="363"/>
      <x:c r="AG74" s="363" t="str">
        <x:f>IF($A74="","",AA74/(1-AD74))</x:f>
      </x:c>
      <x:c r="AH74" s="363"/>
      <x:c r="AI74" s="363"/>
      <x:c r="AJ74" s="363" t="str">
        <x:f>IF($A74="","",IF(AI74&gt;0,IF(E74="Salla/Zid",AI74*(1-AB74)-AC74-Y74,IF(OR(E74="HungerStation",E74="ToYou",E74="The Chefz"),AI74*(1-AD74)-Y74,AI74-Y74)),""))</x:f>
      </x:c>
      <x:c r="AK74" s="388" t="str">
        <x:f>IF($A74="","",IF(Y74&gt;0,AJ74/Y74,""))</x:f>
      </x:c>
      <x:c r="AL74" s="364"/>
      <x:c r="AM74" s="365"/>
      <x:c r="AN74" s="389"/>
    </x:row>
    <x:row r="75">
      <x:c r="A75" s="361"/>
      <x:c r="B75" s="362"/>
      <x:c r="C75" s="362"/>
      <x:c r="D75" s="362"/>
      <x:c r="E75" s="362"/>
      <x:c r="F75" s="362"/>
      <x:c r="G75" s="362"/>
      <x:c r="H75" s="362"/>
      <x:c r="I75" s="363"/>
      <x:c r="J75" s="362"/>
      <x:c r="K75" s="362"/>
      <x:c r="L75" s="363"/>
      <x:c r="M75" s="362"/>
      <x:c r="N75" s="362"/>
      <x:c r="O75" s="363"/>
      <x:c r="P75" s="362"/>
      <x:c r="Q75" s="362"/>
      <x:c r="R75" s="363"/>
      <x:c r="S75" s="362"/>
      <x:c r="T75" s="362"/>
      <x:c r="U75" s="363"/>
      <x:c r="V75" s="363" t="str">
        <x:f>IF($A75="","",SUM(I75,L75,O75,R75,U75))</x:f>
      </x:c>
      <x:c r="W75" s="363" t="str">
        <x:f>IF($A75="","",'Pricing Rules'!$B$5)</x:f>
      </x:c>
      <x:c r="X75" s="363"/>
      <x:c r="Y75" s="363" t="str">
        <x:f>IF($A75="","",SUM(V75:X75))</x:f>
      </x:c>
      <x:c r="Z75" s="363" t="str">
        <x:f>IF($A75="","",Y75*'Pricing Rules'!$B$6)</x:f>
      </x:c>
      <x:c r="AA75" s="363" t="str">
        <x:f>IF($A75="","",Y75+Z75)</x:f>
      </x:c>
      <x:c r="AB75" s="388" t="str">
        <x:f>IF($A75="","",'Pricing Rules'!$B$7)</x:f>
      </x:c>
      <x:c r="AC75" s="363" t="str">
        <x:f>IF($A75="","",'Pricing Rules'!$B$8)</x:f>
      </x:c>
      <x:c r="AD75" s="388" t="str">
        <x:f>IF($A75="","",'Pricing Rules'!$B$9)</x:f>
      </x:c>
      <x:c r="AE75" s="363" t="str">
        <x:f>IF($A75="","",(AA75+AC75)/(1-AB75))</x:f>
      </x:c>
      <x:c r="AF75" s="363"/>
      <x:c r="AG75" s="363" t="str">
        <x:f>IF($A75="","",AA75/(1-AD75))</x:f>
      </x:c>
      <x:c r="AH75" s="363"/>
      <x:c r="AI75" s="363"/>
      <x:c r="AJ75" s="363" t="str">
        <x:f>IF($A75="","",IF(AI75&gt;0,IF(E75="Salla/Zid",AI75*(1-AB75)-AC75-Y75,IF(OR(E75="HungerStation",E75="ToYou",E75="The Chefz"),AI75*(1-AD75)-Y75,AI75-Y75)),""))</x:f>
      </x:c>
      <x:c r="AK75" s="388" t="str">
        <x:f>IF($A75="","",IF(Y75&gt;0,AJ75/Y75,""))</x:f>
      </x:c>
      <x:c r="AL75" s="364"/>
      <x:c r="AM75" s="365"/>
      <x:c r="AN75" s="389"/>
    </x:row>
    <x:row r="76">
      <x:c r="A76" s="361"/>
      <x:c r="B76" s="362"/>
      <x:c r="C76" s="362"/>
      <x:c r="D76" s="362"/>
      <x:c r="E76" s="362"/>
      <x:c r="F76" s="362"/>
      <x:c r="G76" s="362"/>
      <x:c r="H76" s="362"/>
      <x:c r="I76" s="363"/>
      <x:c r="J76" s="362"/>
      <x:c r="K76" s="362"/>
      <x:c r="L76" s="363"/>
      <x:c r="M76" s="362"/>
      <x:c r="N76" s="362"/>
      <x:c r="O76" s="363"/>
      <x:c r="P76" s="362"/>
      <x:c r="Q76" s="362"/>
      <x:c r="R76" s="363"/>
      <x:c r="S76" s="362"/>
      <x:c r="T76" s="362"/>
      <x:c r="U76" s="363"/>
      <x:c r="V76" s="363" t="str">
        <x:f>IF($A76="","",SUM(I76,L76,O76,R76,U76))</x:f>
      </x:c>
      <x:c r="W76" s="363" t="str">
        <x:f>IF($A76="","",'Pricing Rules'!$B$5)</x:f>
      </x:c>
      <x:c r="X76" s="363"/>
      <x:c r="Y76" s="363" t="str">
        <x:f>IF($A76="","",SUM(V76:X76))</x:f>
      </x:c>
      <x:c r="Z76" s="363" t="str">
        <x:f>IF($A76="","",Y76*'Pricing Rules'!$B$6)</x:f>
      </x:c>
      <x:c r="AA76" s="363" t="str">
        <x:f>IF($A76="","",Y76+Z76)</x:f>
      </x:c>
      <x:c r="AB76" s="388" t="str">
        <x:f>IF($A76="","",'Pricing Rules'!$B$7)</x:f>
      </x:c>
      <x:c r="AC76" s="363" t="str">
        <x:f>IF($A76="","",'Pricing Rules'!$B$8)</x:f>
      </x:c>
      <x:c r="AD76" s="388" t="str">
        <x:f>IF($A76="","",'Pricing Rules'!$B$9)</x:f>
      </x:c>
      <x:c r="AE76" s="363" t="str">
        <x:f>IF($A76="","",(AA76+AC76)/(1-AB76))</x:f>
      </x:c>
      <x:c r="AF76" s="363"/>
      <x:c r="AG76" s="363" t="str">
        <x:f>IF($A76="","",AA76/(1-AD76))</x:f>
      </x:c>
      <x:c r="AH76" s="363"/>
      <x:c r="AI76" s="363"/>
      <x:c r="AJ76" s="363" t="str">
        <x:f>IF($A76="","",IF(AI76&gt;0,IF(E76="Salla/Zid",AI76*(1-AB76)-AC76-Y76,IF(OR(E76="HungerStation",E76="ToYou",E76="The Chefz"),AI76*(1-AD76)-Y76,AI76-Y76)),""))</x:f>
      </x:c>
      <x:c r="AK76" s="388" t="str">
        <x:f>IF($A76="","",IF(Y76&gt;0,AJ76/Y76,""))</x:f>
      </x:c>
      <x:c r="AL76" s="364"/>
      <x:c r="AM76" s="365"/>
      <x:c r="AN76" s="389"/>
    </x:row>
    <x:row r="77">
      <x:c r="A77" s="361"/>
      <x:c r="B77" s="362"/>
      <x:c r="C77" s="362"/>
      <x:c r="D77" s="362"/>
      <x:c r="E77" s="362"/>
      <x:c r="F77" s="362"/>
      <x:c r="G77" s="362"/>
      <x:c r="H77" s="362"/>
      <x:c r="I77" s="363"/>
      <x:c r="J77" s="362"/>
      <x:c r="K77" s="362"/>
      <x:c r="L77" s="363"/>
      <x:c r="M77" s="362"/>
      <x:c r="N77" s="362"/>
      <x:c r="O77" s="363"/>
      <x:c r="P77" s="362"/>
      <x:c r="Q77" s="362"/>
      <x:c r="R77" s="363"/>
      <x:c r="S77" s="362"/>
      <x:c r="T77" s="362"/>
      <x:c r="U77" s="363"/>
      <x:c r="V77" s="363" t="str">
        <x:f>IF($A77="","",SUM(I77,L77,O77,R77,U77))</x:f>
      </x:c>
      <x:c r="W77" s="363" t="str">
        <x:f>IF($A77="","",'Pricing Rules'!$B$5)</x:f>
      </x:c>
      <x:c r="X77" s="363"/>
      <x:c r="Y77" s="363" t="str">
        <x:f>IF($A77="","",SUM(V77:X77))</x:f>
      </x:c>
      <x:c r="Z77" s="363" t="str">
        <x:f>IF($A77="","",Y77*'Pricing Rules'!$B$6)</x:f>
      </x:c>
      <x:c r="AA77" s="363" t="str">
        <x:f>IF($A77="","",Y77+Z77)</x:f>
      </x:c>
      <x:c r="AB77" s="388" t="str">
        <x:f>IF($A77="","",'Pricing Rules'!$B$7)</x:f>
      </x:c>
      <x:c r="AC77" s="363" t="str">
        <x:f>IF($A77="","",'Pricing Rules'!$B$8)</x:f>
      </x:c>
      <x:c r="AD77" s="388" t="str">
        <x:f>IF($A77="","",'Pricing Rules'!$B$9)</x:f>
      </x:c>
      <x:c r="AE77" s="363" t="str">
        <x:f>IF($A77="","",(AA77+AC77)/(1-AB77))</x:f>
      </x:c>
      <x:c r="AF77" s="363"/>
      <x:c r="AG77" s="363" t="str">
        <x:f>IF($A77="","",AA77/(1-AD77))</x:f>
      </x:c>
      <x:c r="AH77" s="363"/>
      <x:c r="AI77" s="363"/>
      <x:c r="AJ77" s="363" t="str">
        <x:f>IF($A77="","",IF(AI77&gt;0,IF(E77="Salla/Zid",AI77*(1-AB77)-AC77-Y77,IF(OR(E77="HungerStation",E77="ToYou",E77="The Chefz"),AI77*(1-AD77)-Y77,AI77-Y77)),""))</x:f>
      </x:c>
      <x:c r="AK77" s="388" t="str">
        <x:f>IF($A77="","",IF(Y77&gt;0,AJ77/Y77,""))</x:f>
      </x:c>
      <x:c r="AL77" s="364"/>
      <x:c r="AM77" s="365"/>
      <x:c r="AN77" s="389"/>
    </x:row>
    <x:row r="78">
      <x:c r="A78" s="361"/>
      <x:c r="B78" s="362"/>
      <x:c r="C78" s="362"/>
      <x:c r="D78" s="362"/>
      <x:c r="E78" s="362"/>
      <x:c r="F78" s="362"/>
      <x:c r="G78" s="362"/>
      <x:c r="H78" s="362"/>
      <x:c r="I78" s="363"/>
      <x:c r="J78" s="362"/>
      <x:c r="K78" s="362"/>
      <x:c r="L78" s="363"/>
      <x:c r="M78" s="362"/>
      <x:c r="N78" s="362"/>
      <x:c r="O78" s="363"/>
      <x:c r="P78" s="362"/>
      <x:c r="Q78" s="362"/>
      <x:c r="R78" s="363"/>
      <x:c r="S78" s="362"/>
      <x:c r="T78" s="362"/>
      <x:c r="U78" s="363"/>
      <x:c r="V78" s="363" t="str">
        <x:f>IF($A78="","",SUM(I78,L78,O78,R78,U78))</x:f>
      </x:c>
      <x:c r="W78" s="363" t="str">
        <x:f>IF($A78="","",'Pricing Rules'!$B$5)</x:f>
      </x:c>
      <x:c r="X78" s="363"/>
      <x:c r="Y78" s="363" t="str">
        <x:f>IF($A78="","",SUM(V78:X78))</x:f>
      </x:c>
      <x:c r="Z78" s="363" t="str">
        <x:f>IF($A78="","",Y78*'Pricing Rules'!$B$6)</x:f>
      </x:c>
      <x:c r="AA78" s="363" t="str">
        <x:f>IF($A78="","",Y78+Z78)</x:f>
      </x:c>
      <x:c r="AB78" s="388" t="str">
        <x:f>IF($A78="","",'Pricing Rules'!$B$7)</x:f>
      </x:c>
      <x:c r="AC78" s="363" t="str">
        <x:f>IF($A78="","",'Pricing Rules'!$B$8)</x:f>
      </x:c>
      <x:c r="AD78" s="388" t="str">
        <x:f>IF($A78="","",'Pricing Rules'!$B$9)</x:f>
      </x:c>
      <x:c r="AE78" s="363" t="str">
        <x:f>IF($A78="","",(AA78+AC78)/(1-AB78))</x:f>
      </x:c>
      <x:c r="AF78" s="363"/>
      <x:c r="AG78" s="363" t="str">
        <x:f>IF($A78="","",AA78/(1-AD78))</x:f>
      </x:c>
      <x:c r="AH78" s="363"/>
      <x:c r="AI78" s="363"/>
      <x:c r="AJ78" s="363" t="str">
        <x:f>IF($A78="","",IF(AI78&gt;0,IF(E78="Salla/Zid",AI78*(1-AB78)-AC78-Y78,IF(OR(E78="HungerStation",E78="ToYou",E78="The Chefz"),AI78*(1-AD78)-Y78,AI78-Y78)),""))</x:f>
      </x:c>
      <x:c r="AK78" s="388" t="str">
        <x:f>IF($A78="","",IF(Y78&gt;0,AJ78/Y78,""))</x:f>
      </x:c>
      <x:c r="AL78" s="364"/>
      <x:c r="AM78" s="365"/>
      <x:c r="AN78" s="389"/>
    </x:row>
    <x:row r="79">
      <x:c r="A79" s="361"/>
      <x:c r="B79" s="362"/>
      <x:c r="C79" s="362"/>
      <x:c r="D79" s="362"/>
      <x:c r="E79" s="362"/>
      <x:c r="F79" s="362"/>
      <x:c r="G79" s="362"/>
      <x:c r="H79" s="362"/>
      <x:c r="I79" s="363"/>
      <x:c r="J79" s="362"/>
      <x:c r="K79" s="362"/>
      <x:c r="L79" s="363"/>
      <x:c r="M79" s="362"/>
      <x:c r="N79" s="362"/>
      <x:c r="O79" s="363"/>
      <x:c r="P79" s="362"/>
      <x:c r="Q79" s="362"/>
      <x:c r="R79" s="363"/>
      <x:c r="S79" s="362"/>
      <x:c r="T79" s="362"/>
      <x:c r="U79" s="363"/>
      <x:c r="V79" s="363" t="str">
        <x:f>IF($A79="","",SUM(I79,L79,O79,R79,U79))</x:f>
      </x:c>
      <x:c r="W79" s="363" t="str">
        <x:f>IF($A79="","",'Pricing Rules'!$B$5)</x:f>
      </x:c>
      <x:c r="X79" s="363"/>
      <x:c r="Y79" s="363" t="str">
        <x:f>IF($A79="","",SUM(V79:X79))</x:f>
      </x:c>
      <x:c r="Z79" s="363" t="str">
        <x:f>IF($A79="","",Y79*'Pricing Rules'!$B$6)</x:f>
      </x:c>
      <x:c r="AA79" s="363" t="str">
        <x:f>IF($A79="","",Y79+Z79)</x:f>
      </x:c>
      <x:c r="AB79" s="388" t="str">
        <x:f>IF($A79="","",'Pricing Rules'!$B$7)</x:f>
      </x:c>
      <x:c r="AC79" s="363" t="str">
        <x:f>IF($A79="","",'Pricing Rules'!$B$8)</x:f>
      </x:c>
      <x:c r="AD79" s="388" t="str">
        <x:f>IF($A79="","",'Pricing Rules'!$B$9)</x:f>
      </x:c>
      <x:c r="AE79" s="363" t="str">
        <x:f>IF($A79="","",(AA79+AC79)/(1-AB79))</x:f>
      </x:c>
      <x:c r="AF79" s="363"/>
      <x:c r="AG79" s="363" t="str">
        <x:f>IF($A79="","",AA79/(1-AD79))</x:f>
      </x:c>
      <x:c r="AH79" s="363"/>
      <x:c r="AI79" s="363"/>
      <x:c r="AJ79" s="363" t="str">
        <x:f>IF($A79="","",IF(AI79&gt;0,IF(E79="Salla/Zid",AI79*(1-AB79)-AC79-Y79,IF(OR(E79="HungerStation",E79="ToYou",E79="The Chefz"),AI79*(1-AD79)-Y79,AI79-Y79)),""))</x:f>
      </x:c>
      <x:c r="AK79" s="388" t="str">
        <x:f>IF($A79="","",IF(Y79&gt;0,AJ79/Y79,""))</x:f>
      </x:c>
      <x:c r="AL79" s="364"/>
      <x:c r="AM79" s="365"/>
      <x:c r="AN79" s="389"/>
    </x:row>
    <x:row r="80">
      <x:c r="A80" s="361"/>
      <x:c r="B80" s="362"/>
      <x:c r="C80" s="362"/>
      <x:c r="D80" s="362"/>
      <x:c r="E80" s="362"/>
      <x:c r="F80" s="362"/>
      <x:c r="G80" s="362"/>
      <x:c r="H80" s="362"/>
      <x:c r="I80" s="363"/>
      <x:c r="J80" s="362"/>
      <x:c r="K80" s="362"/>
      <x:c r="L80" s="363"/>
      <x:c r="M80" s="362"/>
      <x:c r="N80" s="362"/>
      <x:c r="O80" s="363"/>
      <x:c r="P80" s="362"/>
      <x:c r="Q80" s="362"/>
      <x:c r="R80" s="363"/>
      <x:c r="S80" s="362"/>
      <x:c r="T80" s="362"/>
      <x:c r="U80" s="363"/>
      <x:c r="V80" s="363" t="str">
        <x:f>IF($A80="","",SUM(I80,L80,O80,R80,U80))</x:f>
      </x:c>
      <x:c r="W80" s="363" t="str">
        <x:f>IF($A80="","",'Pricing Rules'!$B$5)</x:f>
      </x:c>
      <x:c r="X80" s="363"/>
      <x:c r="Y80" s="363" t="str">
        <x:f>IF($A80="","",SUM(V80:X80))</x:f>
      </x:c>
      <x:c r="Z80" s="363" t="str">
        <x:f>IF($A80="","",Y80*'Pricing Rules'!$B$6)</x:f>
      </x:c>
      <x:c r="AA80" s="363" t="str">
        <x:f>IF($A80="","",Y80+Z80)</x:f>
      </x:c>
      <x:c r="AB80" s="388" t="str">
        <x:f>IF($A80="","",'Pricing Rules'!$B$7)</x:f>
      </x:c>
      <x:c r="AC80" s="363" t="str">
        <x:f>IF($A80="","",'Pricing Rules'!$B$8)</x:f>
      </x:c>
      <x:c r="AD80" s="388" t="str">
        <x:f>IF($A80="","",'Pricing Rules'!$B$9)</x:f>
      </x:c>
      <x:c r="AE80" s="363" t="str">
        <x:f>IF($A80="","",(AA80+AC80)/(1-AB80))</x:f>
      </x:c>
      <x:c r="AF80" s="363"/>
      <x:c r="AG80" s="363" t="str">
        <x:f>IF($A80="","",AA80/(1-AD80))</x:f>
      </x:c>
      <x:c r="AH80" s="363"/>
      <x:c r="AI80" s="363"/>
      <x:c r="AJ80" s="363" t="str">
        <x:f>IF($A80="","",IF(AI80&gt;0,IF(E80="Salla/Zid",AI80*(1-AB80)-AC80-Y80,IF(OR(E80="HungerStation",E80="ToYou",E80="The Chefz"),AI80*(1-AD80)-Y80,AI80-Y80)),""))</x:f>
      </x:c>
      <x:c r="AK80" s="388" t="str">
        <x:f>IF($A80="","",IF(Y80&gt;0,AJ80/Y80,""))</x:f>
      </x:c>
      <x:c r="AL80" s="364"/>
      <x:c r="AM80" s="365"/>
      <x:c r="AN80" s="389"/>
    </x:row>
    <x:row r="81">
      <x:c r="A81" s="361"/>
      <x:c r="B81" s="362"/>
      <x:c r="C81" s="362"/>
      <x:c r="D81" s="362"/>
      <x:c r="E81" s="362"/>
      <x:c r="F81" s="362"/>
      <x:c r="G81" s="362"/>
      <x:c r="H81" s="362"/>
      <x:c r="I81" s="363"/>
      <x:c r="J81" s="362"/>
      <x:c r="K81" s="362"/>
      <x:c r="L81" s="363"/>
      <x:c r="M81" s="362"/>
      <x:c r="N81" s="362"/>
      <x:c r="O81" s="363"/>
      <x:c r="P81" s="362"/>
      <x:c r="Q81" s="362"/>
      <x:c r="R81" s="363"/>
      <x:c r="S81" s="362"/>
      <x:c r="T81" s="362"/>
      <x:c r="U81" s="363"/>
      <x:c r="V81" s="363" t="str">
        <x:f>IF($A81="","",SUM(I81,L81,O81,R81,U81))</x:f>
      </x:c>
      <x:c r="W81" s="363" t="str">
        <x:f>IF($A81="","",'Pricing Rules'!$B$5)</x:f>
      </x:c>
      <x:c r="X81" s="363"/>
      <x:c r="Y81" s="363" t="str">
        <x:f>IF($A81="","",SUM(V81:X81))</x:f>
      </x:c>
      <x:c r="Z81" s="363" t="str">
        <x:f>IF($A81="","",Y81*'Pricing Rules'!$B$6)</x:f>
      </x:c>
      <x:c r="AA81" s="363" t="str">
        <x:f>IF($A81="","",Y81+Z81)</x:f>
      </x:c>
      <x:c r="AB81" s="388" t="str">
        <x:f>IF($A81="","",'Pricing Rules'!$B$7)</x:f>
      </x:c>
      <x:c r="AC81" s="363" t="str">
        <x:f>IF($A81="","",'Pricing Rules'!$B$8)</x:f>
      </x:c>
      <x:c r="AD81" s="388" t="str">
        <x:f>IF($A81="","",'Pricing Rules'!$B$9)</x:f>
      </x:c>
      <x:c r="AE81" s="363" t="str">
        <x:f>IF($A81="","",(AA81+AC81)/(1-AB81))</x:f>
      </x:c>
      <x:c r="AF81" s="363"/>
      <x:c r="AG81" s="363" t="str">
        <x:f>IF($A81="","",AA81/(1-AD81))</x:f>
      </x:c>
      <x:c r="AH81" s="363"/>
      <x:c r="AI81" s="363"/>
      <x:c r="AJ81" s="363" t="str">
        <x:f>IF($A81="","",IF(AI81&gt;0,IF(E81="Salla/Zid",AI81*(1-AB81)-AC81-Y81,IF(OR(E81="HungerStation",E81="ToYou",E81="The Chefz"),AI81*(1-AD81)-Y81,AI81-Y81)),""))</x:f>
      </x:c>
      <x:c r="AK81" s="388" t="str">
        <x:f>IF($A81="","",IF(Y81&gt;0,AJ81/Y81,""))</x:f>
      </x:c>
      <x:c r="AL81" s="364"/>
      <x:c r="AM81" s="365"/>
      <x:c r="AN81" s="389"/>
    </x:row>
    <x:row r="82">
      <x:c r="A82" s="361"/>
      <x:c r="B82" s="362"/>
      <x:c r="C82" s="362"/>
      <x:c r="D82" s="362"/>
      <x:c r="E82" s="362"/>
      <x:c r="F82" s="362"/>
      <x:c r="G82" s="362"/>
      <x:c r="H82" s="362"/>
      <x:c r="I82" s="363"/>
      <x:c r="J82" s="362"/>
      <x:c r="K82" s="362"/>
      <x:c r="L82" s="363"/>
      <x:c r="M82" s="362"/>
      <x:c r="N82" s="362"/>
      <x:c r="O82" s="363"/>
      <x:c r="P82" s="362"/>
      <x:c r="Q82" s="362"/>
      <x:c r="R82" s="363"/>
      <x:c r="S82" s="362"/>
      <x:c r="T82" s="362"/>
      <x:c r="U82" s="363"/>
      <x:c r="V82" s="363" t="str">
        <x:f>IF($A82="","",SUM(I82,L82,O82,R82,U82))</x:f>
      </x:c>
      <x:c r="W82" s="363" t="str">
        <x:f>IF($A82="","",'Pricing Rules'!$B$5)</x:f>
      </x:c>
      <x:c r="X82" s="363"/>
      <x:c r="Y82" s="363" t="str">
        <x:f>IF($A82="","",SUM(V82:X82))</x:f>
      </x:c>
      <x:c r="Z82" s="363" t="str">
        <x:f>IF($A82="","",Y82*'Pricing Rules'!$B$6)</x:f>
      </x:c>
      <x:c r="AA82" s="363" t="str">
        <x:f>IF($A82="","",Y82+Z82)</x:f>
      </x:c>
      <x:c r="AB82" s="388" t="str">
        <x:f>IF($A82="","",'Pricing Rules'!$B$7)</x:f>
      </x:c>
      <x:c r="AC82" s="363" t="str">
        <x:f>IF($A82="","",'Pricing Rules'!$B$8)</x:f>
      </x:c>
      <x:c r="AD82" s="388" t="str">
        <x:f>IF($A82="","",'Pricing Rules'!$B$9)</x:f>
      </x:c>
      <x:c r="AE82" s="363" t="str">
        <x:f>IF($A82="","",(AA82+AC82)/(1-AB82))</x:f>
      </x:c>
      <x:c r="AF82" s="363"/>
      <x:c r="AG82" s="363" t="str">
        <x:f>IF($A82="","",AA82/(1-AD82))</x:f>
      </x:c>
      <x:c r="AH82" s="363"/>
      <x:c r="AI82" s="363"/>
      <x:c r="AJ82" s="363" t="str">
        <x:f>IF($A82="","",IF(AI82&gt;0,IF(E82="Salla/Zid",AI82*(1-AB82)-AC82-Y82,IF(OR(E82="HungerStation",E82="ToYou",E82="The Chefz"),AI82*(1-AD82)-Y82,AI82-Y82)),""))</x:f>
      </x:c>
      <x:c r="AK82" s="388" t="str">
        <x:f>IF($A82="","",IF(Y82&gt;0,AJ82/Y82,""))</x:f>
      </x:c>
      <x:c r="AL82" s="364"/>
      <x:c r="AM82" s="365"/>
      <x:c r="AN82" s="389"/>
    </x:row>
    <x:row r="83">
      <x:c r="A83" s="361"/>
      <x:c r="B83" s="362"/>
      <x:c r="C83" s="362"/>
      <x:c r="D83" s="362"/>
      <x:c r="E83" s="362"/>
      <x:c r="F83" s="362"/>
      <x:c r="G83" s="362"/>
      <x:c r="H83" s="362"/>
      <x:c r="I83" s="363"/>
      <x:c r="J83" s="362"/>
      <x:c r="K83" s="362"/>
      <x:c r="L83" s="363"/>
      <x:c r="M83" s="362"/>
      <x:c r="N83" s="362"/>
      <x:c r="O83" s="363"/>
      <x:c r="P83" s="362"/>
      <x:c r="Q83" s="362"/>
      <x:c r="R83" s="363"/>
      <x:c r="S83" s="362"/>
      <x:c r="T83" s="362"/>
      <x:c r="U83" s="363"/>
      <x:c r="V83" s="363" t="str">
        <x:f>IF($A83="","",SUM(I83,L83,O83,R83,U83))</x:f>
      </x:c>
      <x:c r="W83" s="363" t="str">
        <x:f>IF($A83="","",'Pricing Rules'!$B$5)</x:f>
      </x:c>
      <x:c r="X83" s="363"/>
      <x:c r="Y83" s="363" t="str">
        <x:f>IF($A83="","",SUM(V83:X83))</x:f>
      </x:c>
      <x:c r="Z83" s="363" t="str">
        <x:f>IF($A83="","",Y83*'Pricing Rules'!$B$6)</x:f>
      </x:c>
      <x:c r="AA83" s="363" t="str">
        <x:f>IF($A83="","",Y83+Z83)</x:f>
      </x:c>
      <x:c r="AB83" s="388" t="str">
        <x:f>IF($A83="","",'Pricing Rules'!$B$7)</x:f>
      </x:c>
      <x:c r="AC83" s="363" t="str">
        <x:f>IF($A83="","",'Pricing Rules'!$B$8)</x:f>
      </x:c>
      <x:c r="AD83" s="388" t="str">
        <x:f>IF($A83="","",'Pricing Rules'!$B$9)</x:f>
      </x:c>
      <x:c r="AE83" s="363" t="str">
        <x:f>IF($A83="","",(AA83+AC83)/(1-AB83))</x:f>
      </x:c>
      <x:c r="AF83" s="363"/>
      <x:c r="AG83" s="363" t="str">
        <x:f>IF($A83="","",AA83/(1-AD83))</x:f>
      </x:c>
      <x:c r="AH83" s="363"/>
      <x:c r="AI83" s="363"/>
      <x:c r="AJ83" s="363" t="str">
        <x:f>IF($A83="","",IF(AI83&gt;0,IF(E83="Salla/Zid",AI83*(1-AB83)-AC83-Y83,IF(OR(E83="HungerStation",E83="ToYou",E83="The Chefz"),AI83*(1-AD83)-Y83,AI83-Y83)),""))</x:f>
      </x:c>
      <x:c r="AK83" s="388" t="str">
        <x:f>IF($A83="","",IF(Y83&gt;0,AJ83/Y83,""))</x:f>
      </x:c>
      <x:c r="AL83" s="364"/>
      <x:c r="AM83" s="365"/>
      <x:c r="AN83" s="389"/>
    </x:row>
    <x:row r="84">
      <x:c r="A84" s="361"/>
      <x:c r="B84" s="362"/>
      <x:c r="C84" s="362"/>
      <x:c r="D84" s="362"/>
      <x:c r="E84" s="362"/>
      <x:c r="F84" s="362"/>
      <x:c r="G84" s="362"/>
      <x:c r="H84" s="362"/>
      <x:c r="I84" s="363"/>
      <x:c r="J84" s="362"/>
      <x:c r="K84" s="362"/>
      <x:c r="L84" s="363"/>
      <x:c r="M84" s="362"/>
      <x:c r="N84" s="362"/>
      <x:c r="O84" s="363"/>
      <x:c r="P84" s="362"/>
      <x:c r="Q84" s="362"/>
      <x:c r="R84" s="363"/>
      <x:c r="S84" s="362"/>
      <x:c r="T84" s="362"/>
      <x:c r="U84" s="363"/>
      <x:c r="V84" s="363" t="str">
        <x:f>IF($A84="","",SUM(I84,L84,O84,R84,U84))</x:f>
      </x:c>
      <x:c r="W84" s="363" t="str">
        <x:f>IF($A84="","",'Pricing Rules'!$B$5)</x:f>
      </x:c>
      <x:c r="X84" s="363"/>
      <x:c r="Y84" s="363" t="str">
        <x:f>IF($A84="","",SUM(V84:X84))</x:f>
      </x:c>
      <x:c r="Z84" s="363" t="str">
        <x:f>IF($A84="","",Y84*'Pricing Rules'!$B$6)</x:f>
      </x:c>
      <x:c r="AA84" s="363" t="str">
        <x:f>IF($A84="","",Y84+Z84)</x:f>
      </x:c>
      <x:c r="AB84" s="388" t="str">
        <x:f>IF($A84="","",'Pricing Rules'!$B$7)</x:f>
      </x:c>
      <x:c r="AC84" s="363" t="str">
        <x:f>IF($A84="","",'Pricing Rules'!$B$8)</x:f>
      </x:c>
      <x:c r="AD84" s="388" t="str">
        <x:f>IF($A84="","",'Pricing Rules'!$B$9)</x:f>
      </x:c>
      <x:c r="AE84" s="363" t="str">
        <x:f>IF($A84="","",(AA84+AC84)/(1-AB84))</x:f>
      </x:c>
      <x:c r="AF84" s="363"/>
      <x:c r="AG84" s="363" t="str">
        <x:f>IF($A84="","",AA84/(1-AD84))</x:f>
      </x:c>
      <x:c r="AH84" s="363"/>
      <x:c r="AI84" s="363"/>
      <x:c r="AJ84" s="363" t="str">
        <x:f>IF($A84="","",IF(AI84&gt;0,IF(E84="Salla/Zid",AI84*(1-AB84)-AC84-Y84,IF(OR(E84="HungerStation",E84="ToYou",E84="The Chefz"),AI84*(1-AD84)-Y84,AI84-Y84)),""))</x:f>
      </x:c>
      <x:c r="AK84" s="388" t="str">
        <x:f>IF($A84="","",IF(Y84&gt;0,AJ84/Y84,""))</x:f>
      </x:c>
      <x:c r="AL84" s="364"/>
      <x:c r="AM84" s="365"/>
      <x:c r="AN84" s="389"/>
    </x:row>
    <x:row r="85">
      <x:c r="A85" s="361"/>
      <x:c r="B85" s="362"/>
      <x:c r="C85" s="362"/>
      <x:c r="D85" s="362"/>
      <x:c r="E85" s="362"/>
      <x:c r="F85" s="362"/>
      <x:c r="G85" s="362"/>
      <x:c r="H85" s="362"/>
      <x:c r="I85" s="363"/>
      <x:c r="J85" s="362"/>
      <x:c r="K85" s="362"/>
      <x:c r="L85" s="363"/>
      <x:c r="M85" s="362"/>
      <x:c r="N85" s="362"/>
      <x:c r="O85" s="363"/>
      <x:c r="P85" s="362"/>
      <x:c r="Q85" s="362"/>
      <x:c r="R85" s="363"/>
      <x:c r="S85" s="362"/>
      <x:c r="T85" s="362"/>
      <x:c r="U85" s="363"/>
      <x:c r="V85" s="363" t="str">
        <x:f>IF($A85="","",SUM(I85,L85,O85,R85,U85))</x:f>
      </x:c>
      <x:c r="W85" s="363" t="str">
        <x:f>IF($A85="","",'Pricing Rules'!$B$5)</x:f>
      </x:c>
      <x:c r="X85" s="363"/>
      <x:c r="Y85" s="363" t="str">
        <x:f>IF($A85="","",SUM(V85:X85))</x:f>
      </x:c>
      <x:c r="Z85" s="363" t="str">
        <x:f>IF($A85="","",Y85*'Pricing Rules'!$B$6)</x:f>
      </x:c>
      <x:c r="AA85" s="363" t="str">
        <x:f>IF($A85="","",Y85+Z85)</x:f>
      </x:c>
      <x:c r="AB85" s="388" t="str">
        <x:f>IF($A85="","",'Pricing Rules'!$B$7)</x:f>
      </x:c>
      <x:c r="AC85" s="363" t="str">
        <x:f>IF($A85="","",'Pricing Rules'!$B$8)</x:f>
      </x:c>
      <x:c r="AD85" s="388" t="str">
        <x:f>IF($A85="","",'Pricing Rules'!$B$9)</x:f>
      </x:c>
      <x:c r="AE85" s="363" t="str">
        <x:f>IF($A85="","",(AA85+AC85)/(1-AB85))</x:f>
      </x:c>
      <x:c r="AF85" s="363"/>
      <x:c r="AG85" s="363" t="str">
        <x:f>IF($A85="","",AA85/(1-AD85))</x:f>
      </x:c>
      <x:c r="AH85" s="363"/>
      <x:c r="AI85" s="363"/>
      <x:c r="AJ85" s="363" t="str">
        <x:f>IF($A85="","",IF(AI85&gt;0,IF(E85="Salla/Zid",AI85*(1-AB85)-AC85-Y85,IF(OR(E85="HungerStation",E85="ToYou",E85="The Chefz"),AI85*(1-AD85)-Y85,AI85-Y85)),""))</x:f>
      </x:c>
      <x:c r="AK85" s="388" t="str">
        <x:f>IF($A85="","",IF(Y85&gt;0,AJ85/Y85,""))</x:f>
      </x:c>
      <x:c r="AL85" s="364"/>
      <x:c r="AM85" s="365"/>
      <x:c r="AN85" s="389"/>
    </x:row>
    <x:row r="86">
      <x:c r="A86" s="361"/>
      <x:c r="B86" s="362"/>
      <x:c r="C86" s="362"/>
      <x:c r="D86" s="362"/>
      <x:c r="E86" s="362"/>
      <x:c r="F86" s="362"/>
      <x:c r="G86" s="362"/>
      <x:c r="H86" s="362"/>
      <x:c r="I86" s="363"/>
      <x:c r="J86" s="362"/>
      <x:c r="K86" s="362"/>
      <x:c r="L86" s="363"/>
      <x:c r="M86" s="362"/>
      <x:c r="N86" s="362"/>
      <x:c r="O86" s="363"/>
      <x:c r="P86" s="362"/>
      <x:c r="Q86" s="362"/>
      <x:c r="R86" s="363"/>
      <x:c r="S86" s="362"/>
      <x:c r="T86" s="362"/>
      <x:c r="U86" s="363"/>
      <x:c r="V86" s="363" t="str">
        <x:f>IF($A86="","",SUM(I86,L86,O86,R86,U86))</x:f>
      </x:c>
      <x:c r="W86" s="363" t="str">
        <x:f>IF($A86="","",'Pricing Rules'!$B$5)</x:f>
      </x:c>
      <x:c r="X86" s="363"/>
      <x:c r="Y86" s="363" t="str">
        <x:f>IF($A86="","",SUM(V86:X86))</x:f>
      </x:c>
      <x:c r="Z86" s="363" t="str">
        <x:f>IF($A86="","",Y86*'Pricing Rules'!$B$6)</x:f>
      </x:c>
      <x:c r="AA86" s="363" t="str">
        <x:f>IF($A86="","",Y86+Z86)</x:f>
      </x:c>
      <x:c r="AB86" s="388" t="str">
        <x:f>IF($A86="","",'Pricing Rules'!$B$7)</x:f>
      </x:c>
      <x:c r="AC86" s="363" t="str">
        <x:f>IF($A86="","",'Pricing Rules'!$B$8)</x:f>
      </x:c>
      <x:c r="AD86" s="388" t="str">
        <x:f>IF($A86="","",'Pricing Rules'!$B$9)</x:f>
      </x:c>
      <x:c r="AE86" s="363" t="str">
        <x:f>IF($A86="","",(AA86+AC86)/(1-AB86))</x:f>
      </x:c>
      <x:c r="AF86" s="363"/>
      <x:c r="AG86" s="363" t="str">
        <x:f>IF($A86="","",AA86/(1-AD86))</x:f>
      </x:c>
      <x:c r="AH86" s="363"/>
      <x:c r="AI86" s="363"/>
      <x:c r="AJ86" s="363" t="str">
        <x:f>IF($A86="","",IF(AI86&gt;0,IF(E86="Salla/Zid",AI86*(1-AB86)-AC86-Y86,IF(OR(E86="HungerStation",E86="ToYou",E86="The Chefz"),AI86*(1-AD86)-Y86,AI86-Y86)),""))</x:f>
      </x:c>
      <x:c r="AK86" s="388" t="str">
        <x:f>IF($A86="","",IF(Y86&gt;0,AJ86/Y86,""))</x:f>
      </x:c>
      <x:c r="AL86" s="364"/>
      <x:c r="AM86" s="365"/>
      <x:c r="AN86" s="389"/>
    </x:row>
    <x:row r="87">
      <x:c r="A87" s="361"/>
      <x:c r="B87" s="362"/>
      <x:c r="C87" s="362"/>
      <x:c r="D87" s="362"/>
      <x:c r="E87" s="362"/>
      <x:c r="F87" s="362"/>
      <x:c r="G87" s="362"/>
      <x:c r="H87" s="362"/>
      <x:c r="I87" s="363"/>
      <x:c r="J87" s="362"/>
      <x:c r="K87" s="362"/>
      <x:c r="L87" s="363"/>
      <x:c r="M87" s="362"/>
      <x:c r="N87" s="362"/>
      <x:c r="O87" s="363"/>
      <x:c r="P87" s="362"/>
      <x:c r="Q87" s="362"/>
      <x:c r="R87" s="363"/>
      <x:c r="S87" s="362"/>
      <x:c r="T87" s="362"/>
      <x:c r="U87" s="363"/>
      <x:c r="V87" s="363" t="str">
        <x:f>IF($A87="","",SUM(I87,L87,O87,R87,U87))</x:f>
      </x:c>
      <x:c r="W87" s="363" t="str">
        <x:f>IF($A87="","",'Pricing Rules'!$B$5)</x:f>
      </x:c>
      <x:c r="X87" s="363"/>
      <x:c r="Y87" s="363" t="str">
        <x:f>IF($A87="","",SUM(V87:X87))</x:f>
      </x:c>
      <x:c r="Z87" s="363" t="str">
        <x:f>IF($A87="","",Y87*'Pricing Rules'!$B$6)</x:f>
      </x:c>
      <x:c r="AA87" s="363" t="str">
        <x:f>IF($A87="","",Y87+Z87)</x:f>
      </x:c>
      <x:c r="AB87" s="388" t="str">
        <x:f>IF($A87="","",'Pricing Rules'!$B$7)</x:f>
      </x:c>
      <x:c r="AC87" s="363" t="str">
        <x:f>IF($A87="","",'Pricing Rules'!$B$8)</x:f>
      </x:c>
      <x:c r="AD87" s="388" t="str">
        <x:f>IF($A87="","",'Pricing Rules'!$B$9)</x:f>
      </x:c>
      <x:c r="AE87" s="363" t="str">
        <x:f>IF($A87="","",(AA87+AC87)/(1-AB87))</x:f>
      </x:c>
      <x:c r="AF87" s="363"/>
      <x:c r="AG87" s="363" t="str">
        <x:f>IF($A87="","",AA87/(1-AD87))</x:f>
      </x:c>
      <x:c r="AH87" s="363"/>
      <x:c r="AI87" s="363"/>
      <x:c r="AJ87" s="363" t="str">
        <x:f>IF($A87="","",IF(AI87&gt;0,IF(E87="Salla/Zid",AI87*(1-AB87)-AC87-Y87,IF(OR(E87="HungerStation",E87="ToYou",E87="The Chefz"),AI87*(1-AD87)-Y87,AI87-Y87)),""))</x:f>
      </x:c>
      <x:c r="AK87" s="388" t="str">
        <x:f>IF($A87="","",IF(Y87&gt;0,AJ87/Y87,""))</x:f>
      </x:c>
      <x:c r="AL87" s="364"/>
      <x:c r="AM87" s="365"/>
      <x:c r="AN87" s="389"/>
    </x:row>
    <x:row r="88">
      <x:c r="A88" s="361"/>
      <x:c r="B88" s="362"/>
      <x:c r="C88" s="362"/>
      <x:c r="D88" s="362"/>
      <x:c r="E88" s="362"/>
      <x:c r="F88" s="362"/>
      <x:c r="G88" s="362"/>
      <x:c r="H88" s="362"/>
      <x:c r="I88" s="363"/>
      <x:c r="J88" s="362"/>
      <x:c r="K88" s="362"/>
      <x:c r="L88" s="363"/>
      <x:c r="M88" s="362"/>
      <x:c r="N88" s="362"/>
      <x:c r="O88" s="363"/>
      <x:c r="P88" s="362"/>
      <x:c r="Q88" s="362"/>
      <x:c r="R88" s="363"/>
      <x:c r="S88" s="362"/>
      <x:c r="T88" s="362"/>
      <x:c r="U88" s="363"/>
      <x:c r="V88" s="363" t="str">
        <x:f>IF($A88="","",SUM(I88,L88,O88,R88,U88))</x:f>
      </x:c>
      <x:c r="W88" s="363" t="str">
        <x:f>IF($A88="","",'Pricing Rules'!$B$5)</x:f>
      </x:c>
      <x:c r="X88" s="363"/>
      <x:c r="Y88" s="363" t="str">
        <x:f>IF($A88="","",SUM(V88:X88))</x:f>
      </x:c>
      <x:c r="Z88" s="363" t="str">
        <x:f>IF($A88="","",Y88*'Pricing Rules'!$B$6)</x:f>
      </x:c>
      <x:c r="AA88" s="363" t="str">
        <x:f>IF($A88="","",Y88+Z88)</x:f>
      </x:c>
      <x:c r="AB88" s="388" t="str">
        <x:f>IF($A88="","",'Pricing Rules'!$B$7)</x:f>
      </x:c>
      <x:c r="AC88" s="363" t="str">
        <x:f>IF($A88="","",'Pricing Rules'!$B$8)</x:f>
      </x:c>
      <x:c r="AD88" s="388" t="str">
        <x:f>IF($A88="","",'Pricing Rules'!$B$9)</x:f>
      </x:c>
      <x:c r="AE88" s="363" t="str">
        <x:f>IF($A88="","",(AA88+AC88)/(1-AB88))</x:f>
      </x:c>
      <x:c r="AF88" s="363"/>
      <x:c r="AG88" s="363" t="str">
        <x:f>IF($A88="","",AA88/(1-AD88))</x:f>
      </x:c>
      <x:c r="AH88" s="363"/>
      <x:c r="AI88" s="363"/>
      <x:c r="AJ88" s="363" t="str">
        <x:f>IF($A88="","",IF(AI88&gt;0,IF(E88="Salla/Zid",AI88*(1-AB88)-AC88-Y88,IF(OR(E88="HungerStation",E88="ToYou",E88="The Chefz"),AI88*(1-AD88)-Y88,AI88-Y88)),""))</x:f>
      </x:c>
      <x:c r="AK88" s="388" t="str">
        <x:f>IF($A88="","",IF(Y88&gt;0,AJ88/Y88,""))</x:f>
      </x:c>
      <x:c r="AL88" s="364"/>
      <x:c r="AM88" s="365"/>
      <x:c r="AN88" s="389"/>
    </x:row>
    <x:row r="89">
      <x:c r="A89" s="361"/>
      <x:c r="B89" s="362"/>
      <x:c r="C89" s="362"/>
      <x:c r="D89" s="362"/>
      <x:c r="E89" s="362"/>
      <x:c r="F89" s="362"/>
      <x:c r="G89" s="362"/>
      <x:c r="H89" s="362"/>
      <x:c r="I89" s="363"/>
      <x:c r="J89" s="362"/>
      <x:c r="K89" s="362"/>
      <x:c r="L89" s="363"/>
      <x:c r="M89" s="362"/>
      <x:c r="N89" s="362"/>
      <x:c r="O89" s="363"/>
      <x:c r="P89" s="362"/>
      <x:c r="Q89" s="362"/>
      <x:c r="R89" s="363"/>
      <x:c r="S89" s="362"/>
      <x:c r="T89" s="362"/>
      <x:c r="U89" s="363"/>
      <x:c r="V89" s="363" t="str">
        <x:f>IF($A89="","",SUM(I89,L89,O89,R89,U89))</x:f>
      </x:c>
      <x:c r="W89" s="363" t="str">
        <x:f>IF($A89="","",'Pricing Rules'!$B$5)</x:f>
      </x:c>
      <x:c r="X89" s="363"/>
      <x:c r="Y89" s="363" t="str">
        <x:f>IF($A89="","",SUM(V89:X89))</x:f>
      </x:c>
      <x:c r="Z89" s="363" t="str">
        <x:f>IF($A89="","",Y89*'Pricing Rules'!$B$6)</x:f>
      </x:c>
      <x:c r="AA89" s="363" t="str">
        <x:f>IF($A89="","",Y89+Z89)</x:f>
      </x:c>
      <x:c r="AB89" s="388" t="str">
        <x:f>IF($A89="","",'Pricing Rules'!$B$7)</x:f>
      </x:c>
      <x:c r="AC89" s="363" t="str">
        <x:f>IF($A89="","",'Pricing Rules'!$B$8)</x:f>
      </x:c>
      <x:c r="AD89" s="388" t="str">
        <x:f>IF($A89="","",'Pricing Rules'!$B$9)</x:f>
      </x:c>
      <x:c r="AE89" s="363" t="str">
        <x:f>IF($A89="","",(AA89+AC89)/(1-AB89))</x:f>
      </x:c>
      <x:c r="AF89" s="363"/>
      <x:c r="AG89" s="363" t="str">
        <x:f>IF($A89="","",AA89/(1-AD89))</x:f>
      </x:c>
      <x:c r="AH89" s="363"/>
      <x:c r="AI89" s="363"/>
      <x:c r="AJ89" s="363" t="str">
        <x:f>IF($A89="","",IF(AI89&gt;0,IF(E89="Salla/Zid",AI89*(1-AB89)-AC89-Y89,IF(OR(E89="HungerStation",E89="ToYou",E89="The Chefz"),AI89*(1-AD89)-Y89,AI89-Y89)),""))</x:f>
      </x:c>
      <x:c r="AK89" s="388" t="str">
        <x:f>IF($A89="","",IF(Y89&gt;0,AJ89/Y89,""))</x:f>
      </x:c>
      <x:c r="AL89" s="364"/>
      <x:c r="AM89" s="365"/>
      <x:c r="AN89" s="389"/>
    </x:row>
    <x:row r="90">
      <x:c r="A90" s="361"/>
      <x:c r="B90" s="362"/>
      <x:c r="C90" s="362"/>
      <x:c r="D90" s="362"/>
      <x:c r="E90" s="362"/>
      <x:c r="F90" s="362"/>
      <x:c r="G90" s="362"/>
      <x:c r="H90" s="362"/>
      <x:c r="I90" s="363"/>
      <x:c r="J90" s="362"/>
      <x:c r="K90" s="362"/>
      <x:c r="L90" s="363"/>
      <x:c r="M90" s="362"/>
      <x:c r="N90" s="362"/>
      <x:c r="O90" s="363"/>
      <x:c r="P90" s="362"/>
      <x:c r="Q90" s="362"/>
      <x:c r="R90" s="363"/>
      <x:c r="S90" s="362"/>
      <x:c r="T90" s="362"/>
      <x:c r="U90" s="363"/>
      <x:c r="V90" s="363" t="str">
        <x:f>IF($A90="","",SUM(I90,L90,O90,R90,U90))</x:f>
      </x:c>
      <x:c r="W90" s="363" t="str">
        <x:f>IF($A90="","",'Pricing Rules'!$B$5)</x:f>
      </x:c>
      <x:c r="X90" s="363"/>
      <x:c r="Y90" s="363" t="str">
        <x:f>IF($A90="","",SUM(V90:X90))</x:f>
      </x:c>
      <x:c r="Z90" s="363" t="str">
        <x:f>IF($A90="","",Y90*'Pricing Rules'!$B$6)</x:f>
      </x:c>
      <x:c r="AA90" s="363" t="str">
        <x:f>IF($A90="","",Y90+Z90)</x:f>
      </x:c>
      <x:c r="AB90" s="388" t="str">
        <x:f>IF($A90="","",'Pricing Rules'!$B$7)</x:f>
      </x:c>
      <x:c r="AC90" s="363" t="str">
        <x:f>IF($A90="","",'Pricing Rules'!$B$8)</x:f>
      </x:c>
      <x:c r="AD90" s="388" t="str">
        <x:f>IF($A90="","",'Pricing Rules'!$B$9)</x:f>
      </x:c>
      <x:c r="AE90" s="363" t="str">
        <x:f>IF($A90="","",(AA90+AC90)/(1-AB90))</x:f>
      </x:c>
      <x:c r="AF90" s="363"/>
      <x:c r="AG90" s="363" t="str">
        <x:f>IF($A90="","",AA90/(1-AD90))</x:f>
      </x:c>
      <x:c r="AH90" s="363"/>
      <x:c r="AI90" s="363"/>
      <x:c r="AJ90" s="363" t="str">
        <x:f>IF($A90="","",IF(AI90&gt;0,IF(E90="Salla/Zid",AI90*(1-AB90)-AC90-Y90,IF(OR(E90="HungerStation",E90="ToYou",E90="The Chefz"),AI90*(1-AD90)-Y90,AI90-Y90)),""))</x:f>
      </x:c>
      <x:c r="AK90" s="388" t="str">
        <x:f>IF($A90="","",IF(Y90&gt;0,AJ90/Y90,""))</x:f>
      </x:c>
      <x:c r="AL90" s="364"/>
      <x:c r="AM90" s="365"/>
      <x:c r="AN90" s="389"/>
    </x:row>
    <x:row r="91">
      <x:c r="A91" s="361"/>
      <x:c r="B91" s="362"/>
      <x:c r="C91" s="362"/>
      <x:c r="D91" s="362"/>
      <x:c r="E91" s="362"/>
      <x:c r="F91" s="362"/>
      <x:c r="G91" s="362"/>
      <x:c r="H91" s="362"/>
      <x:c r="I91" s="363"/>
      <x:c r="J91" s="362"/>
      <x:c r="K91" s="362"/>
      <x:c r="L91" s="363"/>
      <x:c r="M91" s="362"/>
      <x:c r="N91" s="362"/>
      <x:c r="O91" s="363"/>
      <x:c r="P91" s="362"/>
      <x:c r="Q91" s="362"/>
      <x:c r="R91" s="363"/>
      <x:c r="S91" s="362"/>
      <x:c r="T91" s="362"/>
      <x:c r="U91" s="363"/>
      <x:c r="V91" s="363" t="str">
        <x:f>IF($A91="","",SUM(I91,L91,O91,R91,U91))</x:f>
      </x:c>
      <x:c r="W91" s="363" t="str">
        <x:f>IF($A91="","",'Pricing Rules'!$B$5)</x:f>
      </x:c>
      <x:c r="X91" s="363"/>
      <x:c r="Y91" s="363" t="str">
        <x:f>IF($A91="","",SUM(V91:X91))</x:f>
      </x:c>
      <x:c r="Z91" s="363" t="str">
        <x:f>IF($A91="","",Y91*'Pricing Rules'!$B$6)</x:f>
      </x:c>
      <x:c r="AA91" s="363" t="str">
        <x:f>IF($A91="","",Y91+Z91)</x:f>
      </x:c>
      <x:c r="AB91" s="388" t="str">
        <x:f>IF($A91="","",'Pricing Rules'!$B$7)</x:f>
      </x:c>
      <x:c r="AC91" s="363" t="str">
        <x:f>IF($A91="","",'Pricing Rules'!$B$8)</x:f>
      </x:c>
      <x:c r="AD91" s="388" t="str">
        <x:f>IF($A91="","",'Pricing Rules'!$B$9)</x:f>
      </x:c>
      <x:c r="AE91" s="363" t="str">
        <x:f>IF($A91="","",(AA91+AC91)/(1-AB91))</x:f>
      </x:c>
      <x:c r="AF91" s="363"/>
      <x:c r="AG91" s="363" t="str">
        <x:f>IF($A91="","",AA91/(1-AD91))</x:f>
      </x:c>
      <x:c r="AH91" s="363"/>
      <x:c r="AI91" s="363"/>
      <x:c r="AJ91" s="363" t="str">
        <x:f>IF($A91="","",IF(AI91&gt;0,IF(E91="Salla/Zid",AI91*(1-AB91)-AC91-Y91,IF(OR(E91="HungerStation",E91="ToYou",E91="The Chefz"),AI91*(1-AD91)-Y91,AI91-Y91)),""))</x:f>
      </x:c>
      <x:c r="AK91" s="388" t="str">
        <x:f>IF($A91="","",IF(Y91&gt;0,AJ91/Y91,""))</x:f>
      </x:c>
      <x:c r="AL91" s="364"/>
      <x:c r="AM91" s="365"/>
      <x:c r="AN91" s="389"/>
    </x:row>
    <x:row r="92">
      <x:c r="A92" s="361"/>
      <x:c r="B92" s="362"/>
      <x:c r="C92" s="362"/>
      <x:c r="D92" s="362"/>
      <x:c r="E92" s="362"/>
      <x:c r="F92" s="362"/>
      <x:c r="G92" s="362"/>
      <x:c r="H92" s="362"/>
      <x:c r="I92" s="363"/>
      <x:c r="J92" s="362"/>
      <x:c r="K92" s="362"/>
      <x:c r="L92" s="363"/>
      <x:c r="M92" s="362"/>
      <x:c r="N92" s="362"/>
      <x:c r="O92" s="363"/>
      <x:c r="P92" s="362"/>
      <x:c r="Q92" s="362"/>
      <x:c r="R92" s="363"/>
      <x:c r="S92" s="362"/>
      <x:c r="T92" s="362"/>
      <x:c r="U92" s="363"/>
      <x:c r="V92" s="363" t="str">
        <x:f>IF($A92="","",SUM(I92,L92,O92,R92,U92))</x:f>
      </x:c>
      <x:c r="W92" s="363" t="str">
        <x:f>IF($A92="","",'Pricing Rules'!$B$5)</x:f>
      </x:c>
      <x:c r="X92" s="363"/>
      <x:c r="Y92" s="363" t="str">
        <x:f>IF($A92="","",SUM(V92:X92))</x:f>
      </x:c>
      <x:c r="Z92" s="363" t="str">
        <x:f>IF($A92="","",Y92*'Pricing Rules'!$B$6)</x:f>
      </x:c>
      <x:c r="AA92" s="363" t="str">
        <x:f>IF($A92="","",Y92+Z92)</x:f>
      </x:c>
      <x:c r="AB92" s="388" t="str">
        <x:f>IF($A92="","",'Pricing Rules'!$B$7)</x:f>
      </x:c>
      <x:c r="AC92" s="363" t="str">
        <x:f>IF($A92="","",'Pricing Rules'!$B$8)</x:f>
      </x:c>
      <x:c r="AD92" s="388" t="str">
        <x:f>IF($A92="","",'Pricing Rules'!$B$9)</x:f>
      </x:c>
      <x:c r="AE92" s="363" t="str">
        <x:f>IF($A92="","",(AA92+AC92)/(1-AB92))</x:f>
      </x:c>
      <x:c r="AF92" s="363"/>
      <x:c r="AG92" s="363" t="str">
        <x:f>IF($A92="","",AA92/(1-AD92))</x:f>
      </x:c>
      <x:c r="AH92" s="363"/>
      <x:c r="AI92" s="363"/>
      <x:c r="AJ92" s="363" t="str">
        <x:f>IF($A92="","",IF(AI92&gt;0,IF(E92="Salla/Zid",AI92*(1-AB92)-AC92-Y92,IF(OR(E92="HungerStation",E92="ToYou",E92="The Chefz"),AI92*(1-AD92)-Y92,AI92-Y92)),""))</x:f>
      </x:c>
      <x:c r="AK92" s="388" t="str">
        <x:f>IF($A92="","",IF(Y92&gt;0,AJ92/Y92,""))</x:f>
      </x:c>
      <x:c r="AL92" s="364"/>
      <x:c r="AM92" s="365"/>
      <x:c r="AN92" s="389"/>
    </x:row>
    <x:row r="93">
      <x:c r="A93" s="361"/>
      <x:c r="B93" s="362"/>
      <x:c r="C93" s="362"/>
      <x:c r="D93" s="362"/>
      <x:c r="E93" s="362"/>
      <x:c r="F93" s="362"/>
      <x:c r="G93" s="362"/>
      <x:c r="H93" s="362"/>
      <x:c r="I93" s="363"/>
      <x:c r="J93" s="362"/>
      <x:c r="K93" s="362"/>
      <x:c r="L93" s="363"/>
      <x:c r="M93" s="362"/>
      <x:c r="N93" s="362"/>
      <x:c r="O93" s="363"/>
      <x:c r="P93" s="362"/>
      <x:c r="Q93" s="362"/>
      <x:c r="R93" s="363"/>
      <x:c r="S93" s="362"/>
      <x:c r="T93" s="362"/>
      <x:c r="U93" s="363"/>
      <x:c r="V93" s="363" t="str">
        <x:f>IF($A93="","",SUM(I93,L93,O93,R93,U93))</x:f>
      </x:c>
      <x:c r="W93" s="363" t="str">
        <x:f>IF($A93="","",'Pricing Rules'!$B$5)</x:f>
      </x:c>
      <x:c r="X93" s="363"/>
      <x:c r="Y93" s="363" t="str">
        <x:f>IF($A93="","",SUM(V93:X93))</x:f>
      </x:c>
      <x:c r="Z93" s="363" t="str">
        <x:f>IF($A93="","",Y93*'Pricing Rules'!$B$6)</x:f>
      </x:c>
      <x:c r="AA93" s="363" t="str">
        <x:f>IF($A93="","",Y93+Z93)</x:f>
      </x:c>
      <x:c r="AB93" s="388" t="str">
        <x:f>IF($A93="","",'Pricing Rules'!$B$7)</x:f>
      </x:c>
      <x:c r="AC93" s="363" t="str">
        <x:f>IF($A93="","",'Pricing Rules'!$B$8)</x:f>
      </x:c>
      <x:c r="AD93" s="388" t="str">
        <x:f>IF($A93="","",'Pricing Rules'!$B$9)</x:f>
      </x:c>
      <x:c r="AE93" s="363" t="str">
        <x:f>IF($A93="","",(AA93+AC93)/(1-AB93))</x:f>
      </x:c>
      <x:c r="AF93" s="363"/>
      <x:c r="AG93" s="363" t="str">
        <x:f>IF($A93="","",AA93/(1-AD93))</x:f>
      </x:c>
      <x:c r="AH93" s="363"/>
      <x:c r="AI93" s="363"/>
      <x:c r="AJ93" s="363" t="str">
        <x:f>IF($A93="","",IF(AI93&gt;0,IF(E93="Salla/Zid",AI93*(1-AB93)-AC93-Y93,IF(OR(E93="HungerStation",E93="ToYou",E93="The Chefz"),AI93*(1-AD93)-Y93,AI93-Y93)),""))</x:f>
      </x:c>
      <x:c r="AK93" s="388" t="str">
        <x:f>IF($A93="","",IF(Y93&gt;0,AJ93/Y93,""))</x:f>
      </x:c>
      <x:c r="AL93" s="364"/>
      <x:c r="AM93" s="365"/>
      <x:c r="AN93" s="389"/>
    </x:row>
    <x:row r="94">
      <x:c r="A94" s="361"/>
      <x:c r="B94" s="362"/>
      <x:c r="C94" s="362"/>
      <x:c r="D94" s="362"/>
      <x:c r="E94" s="362"/>
      <x:c r="F94" s="362"/>
      <x:c r="G94" s="362"/>
      <x:c r="H94" s="362"/>
      <x:c r="I94" s="363"/>
      <x:c r="J94" s="362"/>
      <x:c r="K94" s="362"/>
      <x:c r="L94" s="363"/>
      <x:c r="M94" s="362"/>
      <x:c r="N94" s="362"/>
      <x:c r="O94" s="363"/>
      <x:c r="P94" s="362"/>
      <x:c r="Q94" s="362"/>
      <x:c r="R94" s="363"/>
      <x:c r="S94" s="362"/>
      <x:c r="T94" s="362"/>
      <x:c r="U94" s="363"/>
      <x:c r="V94" s="363" t="str">
        <x:f>IF($A94="","",SUM(I94,L94,O94,R94,U94))</x:f>
      </x:c>
      <x:c r="W94" s="363" t="str">
        <x:f>IF($A94="","",'Pricing Rules'!$B$5)</x:f>
      </x:c>
      <x:c r="X94" s="363"/>
      <x:c r="Y94" s="363" t="str">
        <x:f>IF($A94="","",SUM(V94:X94))</x:f>
      </x:c>
      <x:c r="Z94" s="363" t="str">
        <x:f>IF($A94="","",Y94*'Pricing Rules'!$B$6)</x:f>
      </x:c>
      <x:c r="AA94" s="363" t="str">
        <x:f>IF($A94="","",Y94+Z94)</x:f>
      </x:c>
      <x:c r="AB94" s="388" t="str">
        <x:f>IF($A94="","",'Pricing Rules'!$B$7)</x:f>
      </x:c>
      <x:c r="AC94" s="363" t="str">
        <x:f>IF($A94="","",'Pricing Rules'!$B$8)</x:f>
      </x:c>
      <x:c r="AD94" s="388" t="str">
        <x:f>IF($A94="","",'Pricing Rules'!$B$9)</x:f>
      </x:c>
      <x:c r="AE94" s="363" t="str">
        <x:f>IF($A94="","",(AA94+AC94)/(1-AB94))</x:f>
      </x:c>
      <x:c r="AF94" s="363"/>
      <x:c r="AG94" s="363" t="str">
        <x:f>IF($A94="","",AA94/(1-AD94))</x:f>
      </x:c>
      <x:c r="AH94" s="363"/>
      <x:c r="AI94" s="363"/>
      <x:c r="AJ94" s="363" t="str">
        <x:f>IF($A94="","",IF(AI94&gt;0,IF(E94="Salla/Zid",AI94*(1-AB94)-AC94-Y94,IF(OR(E94="HungerStation",E94="ToYou",E94="The Chefz"),AI94*(1-AD94)-Y94,AI94-Y94)),""))</x:f>
      </x:c>
      <x:c r="AK94" s="388" t="str">
        <x:f>IF($A94="","",IF(Y94&gt;0,AJ94/Y94,""))</x:f>
      </x:c>
      <x:c r="AL94" s="364"/>
      <x:c r="AM94" s="365"/>
      <x:c r="AN94" s="389"/>
    </x:row>
    <x:row r="95">
      <x:c r="A95" s="361"/>
      <x:c r="B95" s="362"/>
      <x:c r="C95" s="362"/>
      <x:c r="D95" s="362"/>
      <x:c r="E95" s="362"/>
      <x:c r="F95" s="362"/>
      <x:c r="G95" s="362"/>
      <x:c r="H95" s="362"/>
      <x:c r="I95" s="363"/>
      <x:c r="J95" s="362"/>
      <x:c r="K95" s="362"/>
      <x:c r="L95" s="363"/>
      <x:c r="M95" s="362"/>
      <x:c r="N95" s="362"/>
      <x:c r="O95" s="363"/>
      <x:c r="P95" s="362"/>
      <x:c r="Q95" s="362"/>
      <x:c r="R95" s="363"/>
      <x:c r="S95" s="362"/>
      <x:c r="T95" s="362"/>
      <x:c r="U95" s="363"/>
      <x:c r="V95" s="363" t="str">
        <x:f>IF($A95="","",SUM(I95,L95,O95,R95,U95))</x:f>
      </x:c>
      <x:c r="W95" s="363" t="str">
        <x:f>IF($A95="","",'Pricing Rules'!$B$5)</x:f>
      </x:c>
      <x:c r="X95" s="363"/>
      <x:c r="Y95" s="363" t="str">
        <x:f>IF($A95="","",SUM(V95:X95))</x:f>
      </x:c>
      <x:c r="Z95" s="363" t="str">
        <x:f>IF($A95="","",Y95*'Pricing Rules'!$B$6)</x:f>
      </x:c>
      <x:c r="AA95" s="363" t="str">
        <x:f>IF($A95="","",Y95+Z95)</x:f>
      </x:c>
      <x:c r="AB95" s="388" t="str">
        <x:f>IF($A95="","",'Pricing Rules'!$B$7)</x:f>
      </x:c>
      <x:c r="AC95" s="363" t="str">
        <x:f>IF($A95="","",'Pricing Rules'!$B$8)</x:f>
      </x:c>
      <x:c r="AD95" s="388" t="str">
        <x:f>IF($A95="","",'Pricing Rules'!$B$9)</x:f>
      </x:c>
      <x:c r="AE95" s="363" t="str">
        <x:f>IF($A95="","",(AA95+AC95)/(1-AB95))</x:f>
      </x:c>
      <x:c r="AF95" s="363"/>
      <x:c r="AG95" s="363" t="str">
        <x:f>IF($A95="","",AA95/(1-AD95))</x:f>
      </x:c>
      <x:c r="AH95" s="363"/>
      <x:c r="AI95" s="363"/>
      <x:c r="AJ95" s="363" t="str">
        <x:f>IF($A95="","",IF(AI95&gt;0,IF(E95="Salla/Zid",AI95*(1-AB95)-AC95-Y95,IF(OR(E95="HungerStation",E95="ToYou",E95="The Chefz"),AI95*(1-AD95)-Y95,AI95-Y95)),""))</x:f>
      </x:c>
      <x:c r="AK95" s="388" t="str">
        <x:f>IF($A95="","",IF(Y95&gt;0,AJ95/Y95,""))</x:f>
      </x:c>
      <x:c r="AL95" s="364"/>
      <x:c r="AM95" s="365"/>
      <x:c r="AN95" s="389"/>
    </x:row>
    <x:row r="96">
      <x:c r="A96" s="361"/>
      <x:c r="B96" s="362"/>
      <x:c r="C96" s="362"/>
      <x:c r="D96" s="362"/>
      <x:c r="E96" s="362"/>
      <x:c r="F96" s="362"/>
      <x:c r="G96" s="362"/>
      <x:c r="H96" s="362"/>
      <x:c r="I96" s="363"/>
      <x:c r="J96" s="362"/>
      <x:c r="K96" s="362"/>
      <x:c r="L96" s="363"/>
      <x:c r="M96" s="362"/>
      <x:c r="N96" s="362"/>
      <x:c r="O96" s="363"/>
      <x:c r="P96" s="362"/>
      <x:c r="Q96" s="362"/>
      <x:c r="R96" s="363"/>
      <x:c r="S96" s="362"/>
      <x:c r="T96" s="362"/>
      <x:c r="U96" s="363"/>
      <x:c r="V96" s="363" t="str">
        <x:f>IF($A96="","",SUM(I96,L96,O96,R96,U96))</x:f>
      </x:c>
      <x:c r="W96" s="363" t="str">
        <x:f>IF($A96="","",'Pricing Rules'!$B$5)</x:f>
      </x:c>
      <x:c r="X96" s="363"/>
      <x:c r="Y96" s="363" t="str">
        <x:f>IF($A96="","",SUM(V96:X96))</x:f>
      </x:c>
      <x:c r="Z96" s="363" t="str">
        <x:f>IF($A96="","",Y96*'Pricing Rules'!$B$6)</x:f>
      </x:c>
      <x:c r="AA96" s="363" t="str">
        <x:f>IF($A96="","",Y96+Z96)</x:f>
      </x:c>
      <x:c r="AB96" s="388" t="str">
        <x:f>IF($A96="","",'Pricing Rules'!$B$7)</x:f>
      </x:c>
      <x:c r="AC96" s="363" t="str">
        <x:f>IF($A96="","",'Pricing Rules'!$B$8)</x:f>
      </x:c>
      <x:c r="AD96" s="388" t="str">
        <x:f>IF($A96="","",'Pricing Rules'!$B$9)</x:f>
      </x:c>
      <x:c r="AE96" s="363" t="str">
        <x:f>IF($A96="","",(AA96+AC96)/(1-AB96))</x:f>
      </x:c>
      <x:c r="AF96" s="363"/>
      <x:c r="AG96" s="363" t="str">
        <x:f>IF($A96="","",AA96/(1-AD96))</x:f>
      </x:c>
      <x:c r="AH96" s="363"/>
      <x:c r="AI96" s="363"/>
      <x:c r="AJ96" s="363" t="str">
        <x:f>IF($A96="","",IF(AI96&gt;0,IF(E96="Salla/Zid",AI96*(1-AB96)-AC96-Y96,IF(OR(E96="HungerStation",E96="ToYou",E96="The Chefz"),AI96*(1-AD96)-Y96,AI96-Y96)),""))</x:f>
      </x:c>
      <x:c r="AK96" s="388" t="str">
        <x:f>IF($A96="","",IF(Y96&gt;0,AJ96/Y96,""))</x:f>
      </x:c>
      <x:c r="AL96" s="364"/>
      <x:c r="AM96" s="365"/>
      <x:c r="AN96" s="389"/>
    </x:row>
    <x:row r="97">
      <x:c r="A97" s="361"/>
      <x:c r="B97" s="362"/>
      <x:c r="C97" s="362"/>
      <x:c r="D97" s="362"/>
      <x:c r="E97" s="362"/>
      <x:c r="F97" s="362"/>
      <x:c r="G97" s="362"/>
      <x:c r="H97" s="362"/>
      <x:c r="I97" s="363"/>
      <x:c r="J97" s="362"/>
      <x:c r="K97" s="362"/>
      <x:c r="L97" s="363"/>
      <x:c r="M97" s="362"/>
      <x:c r="N97" s="362"/>
      <x:c r="O97" s="363"/>
      <x:c r="P97" s="362"/>
      <x:c r="Q97" s="362"/>
      <x:c r="R97" s="363"/>
      <x:c r="S97" s="362"/>
      <x:c r="T97" s="362"/>
      <x:c r="U97" s="363"/>
      <x:c r="V97" s="363" t="str">
        <x:f>IF($A97="","",SUM(I97,L97,O97,R97,U97))</x:f>
      </x:c>
      <x:c r="W97" s="363" t="str">
        <x:f>IF($A97="","",'Pricing Rules'!$B$5)</x:f>
      </x:c>
      <x:c r="X97" s="363"/>
      <x:c r="Y97" s="363" t="str">
        <x:f>IF($A97="","",SUM(V97:X97))</x:f>
      </x:c>
      <x:c r="Z97" s="363" t="str">
        <x:f>IF($A97="","",Y97*'Pricing Rules'!$B$6)</x:f>
      </x:c>
      <x:c r="AA97" s="363" t="str">
        <x:f>IF($A97="","",Y97+Z97)</x:f>
      </x:c>
      <x:c r="AB97" s="388" t="str">
        <x:f>IF($A97="","",'Pricing Rules'!$B$7)</x:f>
      </x:c>
      <x:c r="AC97" s="363" t="str">
        <x:f>IF($A97="","",'Pricing Rules'!$B$8)</x:f>
      </x:c>
      <x:c r="AD97" s="388" t="str">
        <x:f>IF($A97="","",'Pricing Rules'!$B$9)</x:f>
      </x:c>
      <x:c r="AE97" s="363" t="str">
        <x:f>IF($A97="","",(AA97+AC97)/(1-AB97))</x:f>
      </x:c>
      <x:c r="AF97" s="363"/>
      <x:c r="AG97" s="363" t="str">
        <x:f>IF($A97="","",AA97/(1-AD97))</x:f>
      </x:c>
      <x:c r="AH97" s="363"/>
      <x:c r="AI97" s="363"/>
      <x:c r="AJ97" s="363" t="str">
        <x:f>IF($A97="","",IF(AI97&gt;0,IF(E97="Salla/Zid",AI97*(1-AB97)-AC97-Y97,IF(OR(E97="HungerStation",E97="ToYou",E97="The Chefz"),AI97*(1-AD97)-Y97,AI97-Y97)),""))</x:f>
      </x:c>
      <x:c r="AK97" s="388" t="str">
        <x:f>IF($A97="","",IF(Y97&gt;0,AJ97/Y97,""))</x:f>
      </x:c>
      <x:c r="AL97" s="364"/>
      <x:c r="AM97" s="365"/>
      <x:c r="AN97" s="389"/>
    </x:row>
    <x:row r="98">
      <x:c r="A98" s="361"/>
      <x:c r="B98" s="362"/>
      <x:c r="C98" s="362"/>
      <x:c r="D98" s="362"/>
      <x:c r="E98" s="362"/>
      <x:c r="F98" s="362"/>
      <x:c r="G98" s="362"/>
      <x:c r="H98" s="362"/>
      <x:c r="I98" s="363"/>
      <x:c r="J98" s="362"/>
      <x:c r="K98" s="362"/>
      <x:c r="L98" s="363"/>
      <x:c r="M98" s="362"/>
      <x:c r="N98" s="362"/>
      <x:c r="O98" s="363"/>
      <x:c r="P98" s="362"/>
      <x:c r="Q98" s="362"/>
      <x:c r="R98" s="363"/>
      <x:c r="S98" s="362"/>
      <x:c r="T98" s="362"/>
      <x:c r="U98" s="363"/>
      <x:c r="V98" s="363" t="str">
        <x:f>IF($A98="","",SUM(I98,L98,O98,R98,U98))</x:f>
      </x:c>
      <x:c r="W98" s="363" t="str">
        <x:f>IF($A98="","",'Pricing Rules'!$B$5)</x:f>
      </x:c>
      <x:c r="X98" s="363"/>
      <x:c r="Y98" s="363" t="str">
        <x:f>IF($A98="","",SUM(V98:X98))</x:f>
      </x:c>
      <x:c r="Z98" s="363" t="str">
        <x:f>IF($A98="","",Y98*'Pricing Rules'!$B$6)</x:f>
      </x:c>
      <x:c r="AA98" s="363" t="str">
        <x:f>IF($A98="","",Y98+Z98)</x:f>
      </x:c>
      <x:c r="AB98" s="388" t="str">
        <x:f>IF($A98="","",'Pricing Rules'!$B$7)</x:f>
      </x:c>
      <x:c r="AC98" s="363" t="str">
        <x:f>IF($A98="","",'Pricing Rules'!$B$8)</x:f>
      </x:c>
      <x:c r="AD98" s="388" t="str">
        <x:f>IF($A98="","",'Pricing Rules'!$B$9)</x:f>
      </x:c>
      <x:c r="AE98" s="363" t="str">
        <x:f>IF($A98="","",(AA98+AC98)/(1-AB98))</x:f>
      </x:c>
      <x:c r="AF98" s="363"/>
      <x:c r="AG98" s="363" t="str">
        <x:f>IF($A98="","",AA98/(1-AD98))</x:f>
      </x:c>
      <x:c r="AH98" s="363"/>
      <x:c r="AI98" s="363"/>
      <x:c r="AJ98" s="363" t="str">
        <x:f>IF($A98="","",IF(AI98&gt;0,IF(E98="Salla/Zid",AI98*(1-AB98)-AC98-Y98,IF(OR(E98="HungerStation",E98="ToYou",E98="The Chefz"),AI98*(1-AD98)-Y98,AI98-Y98)),""))</x:f>
      </x:c>
      <x:c r="AK98" s="388" t="str">
        <x:f>IF($A98="","",IF(Y98&gt;0,AJ98/Y98,""))</x:f>
      </x:c>
      <x:c r="AL98" s="364"/>
      <x:c r="AM98" s="365"/>
      <x:c r="AN98" s="389"/>
    </x:row>
    <x:row r="99">
      <x:c r="A99" s="361"/>
      <x:c r="B99" s="362"/>
      <x:c r="C99" s="362"/>
      <x:c r="D99" s="362"/>
      <x:c r="E99" s="362"/>
      <x:c r="F99" s="362"/>
      <x:c r="G99" s="362"/>
      <x:c r="H99" s="362"/>
      <x:c r="I99" s="363"/>
      <x:c r="J99" s="362"/>
      <x:c r="K99" s="362"/>
      <x:c r="L99" s="363"/>
      <x:c r="M99" s="362"/>
      <x:c r="N99" s="362"/>
      <x:c r="O99" s="363"/>
      <x:c r="P99" s="362"/>
      <x:c r="Q99" s="362"/>
      <x:c r="R99" s="363"/>
      <x:c r="S99" s="362"/>
      <x:c r="T99" s="362"/>
      <x:c r="U99" s="363"/>
      <x:c r="V99" s="363" t="str">
        <x:f>IF($A99="","",SUM(I99,L99,O99,R99,U99))</x:f>
      </x:c>
      <x:c r="W99" s="363" t="str">
        <x:f>IF($A99="","",'Pricing Rules'!$B$5)</x:f>
      </x:c>
      <x:c r="X99" s="363"/>
      <x:c r="Y99" s="363" t="str">
        <x:f>IF($A99="","",SUM(V99:X99))</x:f>
      </x:c>
      <x:c r="Z99" s="363" t="str">
        <x:f>IF($A99="","",Y99*'Pricing Rules'!$B$6)</x:f>
      </x:c>
      <x:c r="AA99" s="363" t="str">
        <x:f>IF($A99="","",Y99+Z99)</x:f>
      </x:c>
      <x:c r="AB99" s="388" t="str">
        <x:f>IF($A99="","",'Pricing Rules'!$B$7)</x:f>
      </x:c>
      <x:c r="AC99" s="363" t="str">
        <x:f>IF($A99="","",'Pricing Rules'!$B$8)</x:f>
      </x:c>
      <x:c r="AD99" s="388" t="str">
        <x:f>IF($A99="","",'Pricing Rules'!$B$9)</x:f>
      </x:c>
      <x:c r="AE99" s="363" t="str">
        <x:f>IF($A99="","",(AA99+AC99)/(1-AB99))</x:f>
      </x:c>
      <x:c r="AF99" s="363"/>
      <x:c r="AG99" s="363" t="str">
        <x:f>IF($A99="","",AA99/(1-AD99))</x:f>
      </x:c>
      <x:c r="AH99" s="363"/>
      <x:c r="AI99" s="363"/>
      <x:c r="AJ99" s="363" t="str">
        <x:f>IF($A99="","",IF(AI99&gt;0,IF(E99="Salla/Zid",AI99*(1-AB99)-AC99-Y99,IF(OR(E99="HungerStation",E99="ToYou",E99="The Chefz"),AI99*(1-AD99)-Y99,AI99-Y99)),""))</x:f>
      </x:c>
      <x:c r="AK99" s="388" t="str">
        <x:f>IF($A99="","",IF(Y99&gt;0,AJ99/Y99,""))</x:f>
      </x:c>
      <x:c r="AL99" s="364"/>
      <x:c r="AM99" s="365"/>
      <x:c r="AN99" s="389"/>
    </x:row>
    <x:row r="100">
      <x:c r="A100" s="361"/>
      <x:c r="B100" s="362"/>
      <x:c r="C100" s="362"/>
      <x:c r="D100" s="362"/>
      <x:c r="E100" s="362"/>
      <x:c r="F100" s="362"/>
      <x:c r="G100" s="362"/>
      <x:c r="H100" s="362"/>
      <x:c r="I100" s="363"/>
      <x:c r="J100" s="362"/>
      <x:c r="K100" s="362"/>
      <x:c r="L100" s="363"/>
      <x:c r="M100" s="362"/>
      <x:c r="N100" s="362"/>
      <x:c r="O100" s="363"/>
      <x:c r="P100" s="362"/>
      <x:c r="Q100" s="362"/>
      <x:c r="R100" s="363"/>
      <x:c r="S100" s="362"/>
      <x:c r="T100" s="362"/>
      <x:c r="U100" s="363"/>
      <x:c r="V100" s="363" t="str">
        <x:f>IF($A100="","",SUM(I100,L100,O100,R100,U100))</x:f>
      </x:c>
      <x:c r="W100" s="363" t="str">
        <x:f>IF($A100="","",'Pricing Rules'!$B$5)</x:f>
      </x:c>
      <x:c r="X100" s="363"/>
      <x:c r="Y100" s="363" t="str">
        <x:f>IF($A100="","",SUM(V100:X100))</x:f>
      </x:c>
      <x:c r="Z100" s="363" t="str">
        <x:f>IF($A100="","",Y100*'Pricing Rules'!$B$6)</x:f>
      </x:c>
      <x:c r="AA100" s="363" t="str">
        <x:f>IF($A100="","",Y100+Z100)</x:f>
      </x:c>
      <x:c r="AB100" s="388" t="str">
        <x:f>IF($A100="","",'Pricing Rules'!$B$7)</x:f>
      </x:c>
      <x:c r="AC100" s="363" t="str">
        <x:f>IF($A100="","",'Pricing Rules'!$B$8)</x:f>
      </x:c>
      <x:c r="AD100" s="388" t="str">
        <x:f>IF($A100="","",'Pricing Rules'!$B$9)</x:f>
      </x:c>
      <x:c r="AE100" s="363" t="str">
        <x:f>IF($A100="","",(AA100+AC100)/(1-AB100))</x:f>
      </x:c>
      <x:c r="AF100" s="363"/>
      <x:c r="AG100" s="363" t="str">
        <x:f>IF($A100="","",AA100/(1-AD100))</x:f>
      </x:c>
      <x:c r="AH100" s="363"/>
      <x:c r="AI100" s="363"/>
      <x:c r="AJ100" s="363" t="str">
        <x:f>IF($A100="","",IF(AI100&gt;0,IF(E100="Salla/Zid",AI100*(1-AB100)-AC100-Y100,IF(OR(E100="HungerStation",E100="ToYou",E100="The Chefz"),AI100*(1-AD100)-Y100,AI100-Y100)),""))</x:f>
      </x:c>
      <x:c r="AK100" s="388" t="str">
        <x:f>IF($A100="","",IF(Y100&gt;0,AJ100/Y100,""))</x:f>
      </x:c>
      <x:c r="AL100" s="364"/>
      <x:c r="AM100" s="365"/>
      <x:c r="AN100" s="389"/>
    </x:row>
    <x:row r="101">
      <x:c r="A101" s="361"/>
      <x:c r="B101" s="362"/>
      <x:c r="C101" s="362"/>
      <x:c r="D101" s="362"/>
      <x:c r="E101" s="362"/>
      <x:c r="F101" s="362"/>
      <x:c r="G101" s="362"/>
      <x:c r="H101" s="362"/>
      <x:c r="I101" s="363"/>
      <x:c r="J101" s="362"/>
      <x:c r="K101" s="362"/>
      <x:c r="L101" s="363"/>
      <x:c r="M101" s="362"/>
      <x:c r="N101" s="362"/>
      <x:c r="O101" s="363"/>
      <x:c r="P101" s="362"/>
      <x:c r="Q101" s="362"/>
      <x:c r="R101" s="363"/>
      <x:c r="S101" s="362"/>
      <x:c r="T101" s="362"/>
      <x:c r="U101" s="363"/>
      <x:c r="V101" s="363" t="str">
        <x:f>IF($A101="","",SUM(I101,L101,O101,R101,U101))</x:f>
      </x:c>
      <x:c r="W101" s="363" t="str">
        <x:f>IF($A101="","",'Pricing Rules'!$B$5)</x:f>
      </x:c>
      <x:c r="X101" s="363"/>
      <x:c r="Y101" s="363" t="str">
        <x:f>IF($A101="","",SUM(V101:X101))</x:f>
      </x:c>
      <x:c r="Z101" s="363" t="str">
        <x:f>IF($A101="","",Y101*'Pricing Rules'!$B$6)</x:f>
      </x:c>
      <x:c r="AA101" s="363" t="str">
        <x:f>IF($A101="","",Y101+Z101)</x:f>
      </x:c>
      <x:c r="AB101" s="388" t="str">
        <x:f>IF($A101="","",'Pricing Rules'!$B$7)</x:f>
      </x:c>
      <x:c r="AC101" s="363" t="str">
        <x:f>IF($A101="","",'Pricing Rules'!$B$8)</x:f>
      </x:c>
      <x:c r="AD101" s="388" t="str">
        <x:f>IF($A101="","",'Pricing Rules'!$B$9)</x:f>
      </x:c>
      <x:c r="AE101" s="363" t="str">
        <x:f>IF($A101="","",(AA101+AC101)/(1-AB101))</x:f>
      </x:c>
      <x:c r="AF101" s="363"/>
      <x:c r="AG101" s="363" t="str">
        <x:f>IF($A101="","",AA101/(1-AD101))</x:f>
      </x:c>
      <x:c r="AH101" s="363"/>
      <x:c r="AI101" s="363"/>
      <x:c r="AJ101" s="363" t="str">
        <x:f>IF($A101="","",IF(AI101&gt;0,IF(E101="Salla/Zid",AI101*(1-AB101)-AC101-Y101,IF(OR(E101="HungerStation",E101="ToYou",E101="The Chefz"),AI101*(1-AD101)-Y101,AI101-Y101)),""))</x:f>
      </x:c>
      <x:c r="AK101" s="388" t="str">
        <x:f>IF($A101="","",IF(Y101&gt;0,AJ101/Y101,""))</x:f>
      </x:c>
      <x:c r="AL101" s="364"/>
      <x:c r="AM101" s="365"/>
      <x:c r="AN101" s="389"/>
    </x:row>
    <x:row r="102">
      <x:c r="A102" s="361"/>
      <x:c r="B102" s="362"/>
      <x:c r="C102" s="362"/>
      <x:c r="D102" s="362"/>
      <x:c r="E102" s="362"/>
      <x:c r="F102" s="362"/>
      <x:c r="G102" s="362"/>
      <x:c r="H102" s="362"/>
      <x:c r="I102" s="363"/>
      <x:c r="J102" s="362"/>
      <x:c r="K102" s="362"/>
      <x:c r="L102" s="363"/>
      <x:c r="M102" s="362"/>
      <x:c r="N102" s="362"/>
      <x:c r="O102" s="363"/>
      <x:c r="P102" s="362"/>
      <x:c r="Q102" s="362"/>
      <x:c r="R102" s="363"/>
      <x:c r="S102" s="362"/>
      <x:c r="T102" s="362"/>
      <x:c r="U102" s="363"/>
      <x:c r="V102" s="363" t="str">
        <x:f>IF($A102="","",SUM(I102,L102,O102,R102,U102))</x:f>
      </x:c>
      <x:c r="W102" s="363" t="str">
        <x:f>IF($A102="","",'Pricing Rules'!$B$5)</x:f>
      </x:c>
      <x:c r="X102" s="363"/>
      <x:c r="Y102" s="363" t="str">
        <x:f>IF($A102="","",SUM(V102:X102))</x:f>
      </x:c>
      <x:c r="Z102" s="363" t="str">
        <x:f>IF($A102="","",Y102*'Pricing Rules'!$B$6)</x:f>
      </x:c>
      <x:c r="AA102" s="363" t="str">
        <x:f>IF($A102="","",Y102+Z102)</x:f>
      </x:c>
      <x:c r="AB102" s="388" t="str">
        <x:f>IF($A102="","",'Pricing Rules'!$B$7)</x:f>
      </x:c>
      <x:c r="AC102" s="363" t="str">
        <x:f>IF($A102="","",'Pricing Rules'!$B$8)</x:f>
      </x:c>
      <x:c r="AD102" s="388" t="str">
        <x:f>IF($A102="","",'Pricing Rules'!$B$9)</x:f>
      </x:c>
      <x:c r="AE102" s="363" t="str">
        <x:f>IF($A102="","",(AA102+AC102)/(1-AB102))</x:f>
      </x:c>
      <x:c r="AF102" s="363"/>
      <x:c r="AG102" s="363" t="str">
        <x:f>IF($A102="","",AA102/(1-AD102))</x:f>
      </x:c>
      <x:c r="AH102" s="363"/>
      <x:c r="AI102" s="363"/>
      <x:c r="AJ102" s="363" t="str">
        <x:f>IF($A102="","",IF(AI102&gt;0,IF(E102="Salla/Zid",AI102*(1-AB102)-AC102-Y102,IF(OR(E102="HungerStation",E102="ToYou",E102="The Chefz"),AI102*(1-AD102)-Y102,AI102-Y102)),""))</x:f>
      </x:c>
      <x:c r="AK102" s="388" t="str">
        <x:f>IF($A102="","",IF(Y102&gt;0,AJ102/Y102,""))</x:f>
      </x:c>
      <x:c r="AL102" s="364"/>
      <x:c r="AM102" s="365"/>
      <x:c r="AN102" s="389"/>
    </x:row>
    <x:row r="103">
      <x:c r="A103" s="361"/>
      <x:c r="B103" s="362"/>
      <x:c r="C103" s="362"/>
      <x:c r="D103" s="362"/>
      <x:c r="E103" s="362"/>
      <x:c r="F103" s="362"/>
      <x:c r="G103" s="362"/>
      <x:c r="H103" s="362"/>
      <x:c r="I103" s="363"/>
      <x:c r="J103" s="362"/>
      <x:c r="K103" s="362"/>
      <x:c r="L103" s="363"/>
      <x:c r="M103" s="362"/>
      <x:c r="N103" s="362"/>
      <x:c r="O103" s="363"/>
      <x:c r="P103" s="362"/>
      <x:c r="Q103" s="362"/>
      <x:c r="R103" s="363"/>
      <x:c r="S103" s="362"/>
      <x:c r="T103" s="362"/>
      <x:c r="U103" s="363"/>
      <x:c r="V103" s="363" t="str">
        <x:f>IF($A103="","",SUM(I103,L103,O103,R103,U103))</x:f>
      </x:c>
      <x:c r="W103" s="363" t="str">
        <x:f>IF($A103="","",'Pricing Rules'!$B$5)</x:f>
      </x:c>
      <x:c r="X103" s="363"/>
      <x:c r="Y103" s="363" t="str">
        <x:f>IF($A103="","",SUM(V103:X103))</x:f>
      </x:c>
      <x:c r="Z103" s="363" t="str">
        <x:f>IF($A103="","",Y103*'Pricing Rules'!$B$6)</x:f>
      </x:c>
      <x:c r="AA103" s="363" t="str">
        <x:f>IF($A103="","",Y103+Z103)</x:f>
      </x:c>
      <x:c r="AB103" s="388" t="str">
        <x:f>IF($A103="","",'Pricing Rules'!$B$7)</x:f>
      </x:c>
      <x:c r="AC103" s="363" t="str">
        <x:f>IF($A103="","",'Pricing Rules'!$B$8)</x:f>
      </x:c>
      <x:c r="AD103" s="388" t="str">
        <x:f>IF($A103="","",'Pricing Rules'!$B$9)</x:f>
      </x:c>
      <x:c r="AE103" s="363" t="str">
        <x:f>IF($A103="","",(AA103+AC103)/(1-AB103))</x:f>
      </x:c>
      <x:c r="AF103" s="363"/>
      <x:c r="AG103" s="363" t="str">
        <x:f>IF($A103="","",AA103/(1-AD103))</x:f>
      </x:c>
      <x:c r="AH103" s="363"/>
      <x:c r="AI103" s="363"/>
      <x:c r="AJ103" s="363" t="str">
        <x:f>IF($A103="","",IF(AI103&gt;0,IF(E103="Salla/Zid",AI103*(1-AB103)-AC103-Y103,IF(OR(E103="HungerStation",E103="ToYou",E103="The Chefz"),AI103*(1-AD103)-Y103,AI103-Y103)),""))</x:f>
      </x:c>
      <x:c r="AK103" s="388" t="str">
        <x:f>IF($A103="","",IF(Y103&gt;0,AJ103/Y103,""))</x:f>
      </x:c>
      <x:c r="AL103" s="364"/>
      <x:c r="AM103" s="365"/>
      <x:c r="AN103" s="389"/>
    </x:row>
    <x:row r="104">
      <x:c r="A104" s="361"/>
      <x:c r="B104" s="362"/>
      <x:c r="C104" s="362"/>
      <x:c r="D104" s="362"/>
      <x:c r="E104" s="362"/>
      <x:c r="F104" s="362"/>
      <x:c r="G104" s="362"/>
      <x:c r="H104" s="362"/>
      <x:c r="I104" s="363"/>
      <x:c r="J104" s="362"/>
      <x:c r="K104" s="362"/>
      <x:c r="L104" s="363"/>
      <x:c r="M104" s="362"/>
      <x:c r="N104" s="362"/>
      <x:c r="O104" s="363"/>
      <x:c r="P104" s="362"/>
      <x:c r="Q104" s="362"/>
      <x:c r="R104" s="363"/>
      <x:c r="S104" s="362"/>
      <x:c r="T104" s="362"/>
      <x:c r="U104" s="363"/>
      <x:c r="V104" s="363" t="str">
        <x:f>IF($A104="","",SUM(I104,L104,O104,R104,U104))</x:f>
      </x:c>
      <x:c r="W104" s="363" t="str">
        <x:f>IF($A104="","",'Pricing Rules'!$B$5)</x:f>
      </x:c>
      <x:c r="X104" s="363"/>
      <x:c r="Y104" s="363" t="str">
        <x:f>IF($A104="","",SUM(V104:X104))</x:f>
      </x:c>
      <x:c r="Z104" s="363" t="str">
        <x:f>IF($A104="","",Y104*'Pricing Rules'!$B$6)</x:f>
      </x:c>
      <x:c r="AA104" s="363" t="str">
        <x:f>IF($A104="","",Y104+Z104)</x:f>
      </x:c>
      <x:c r="AB104" s="388" t="str">
        <x:f>IF($A104="","",'Pricing Rules'!$B$7)</x:f>
      </x:c>
      <x:c r="AC104" s="363" t="str">
        <x:f>IF($A104="","",'Pricing Rules'!$B$8)</x:f>
      </x:c>
      <x:c r="AD104" s="388" t="str">
        <x:f>IF($A104="","",'Pricing Rules'!$B$9)</x:f>
      </x:c>
      <x:c r="AE104" s="363" t="str">
        <x:f>IF($A104="","",(AA104+AC104)/(1-AB104))</x:f>
      </x:c>
      <x:c r="AF104" s="363"/>
      <x:c r="AG104" s="363" t="str">
        <x:f>IF($A104="","",AA104/(1-AD104))</x:f>
      </x:c>
      <x:c r="AH104" s="363"/>
      <x:c r="AI104" s="363"/>
      <x:c r="AJ104" s="363" t="str">
        <x:f>IF($A104="","",IF(AI104&gt;0,IF(E104="Salla/Zid",AI104*(1-AB104)-AC104-Y104,IF(OR(E104="HungerStation",E104="ToYou",E104="The Chefz"),AI104*(1-AD104)-Y104,AI104-Y104)),""))</x:f>
      </x:c>
      <x:c r="AK104" s="388" t="str">
        <x:f>IF($A104="","",IF(Y104&gt;0,AJ104/Y104,""))</x:f>
      </x:c>
      <x:c r="AL104" s="364"/>
      <x:c r="AM104" s="365"/>
      <x:c r="AN104" s="389"/>
    </x:row>
    <x:row r="105">
      <x:c r="A105" s="361"/>
      <x:c r="B105" s="362"/>
      <x:c r="C105" s="362"/>
      <x:c r="D105" s="362"/>
      <x:c r="E105" s="362"/>
      <x:c r="F105" s="362"/>
      <x:c r="G105" s="362"/>
      <x:c r="H105" s="362"/>
      <x:c r="I105" s="363"/>
      <x:c r="J105" s="362"/>
      <x:c r="K105" s="362"/>
      <x:c r="L105" s="363"/>
      <x:c r="M105" s="362"/>
      <x:c r="N105" s="362"/>
      <x:c r="O105" s="363"/>
      <x:c r="P105" s="362"/>
      <x:c r="Q105" s="362"/>
      <x:c r="R105" s="363"/>
      <x:c r="S105" s="362"/>
      <x:c r="T105" s="362"/>
      <x:c r="U105" s="363"/>
      <x:c r="V105" s="363" t="str">
        <x:f>IF($A105="","",SUM(I105,L105,O105,R105,U105))</x:f>
      </x:c>
      <x:c r="W105" s="363" t="str">
        <x:f>IF($A105="","",'Pricing Rules'!$B$5)</x:f>
      </x:c>
      <x:c r="X105" s="363"/>
      <x:c r="Y105" s="363" t="str">
        <x:f>IF($A105="","",SUM(V105:X105))</x:f>
      </x:c>
      <x:c r="Z105" s="363" t="str">
        <x:f>IF($A105="","",Y105*'Pricing Rules'!$B$6)</x:f>
      </x:c>
      <x:c r="AA105" s="363" t="str">
        <x:f>IF($A105="","",Y105+Z105)</x:f>
      </x:c>
      <x:c r="AB105" s="388" t="str">
        <x:f>IF($A105="","",'Pricing Rules'!$B$7)</x:f>
      </x:c>
      <x:c r="AC105" s="363" t="str">
        <x:f>IF($A105="","",'Pricing Rules'!$B$8)</x:f>
      </x:c>
      <x:c r="AD105" s="388" t="str">
        <x:f>IF($A105="","",'Pricing Rules'!$B$9)</x:f>
      </x:c>
      <x:c r="AE105" s="363" t="str">
        <x:f>IF($A105="","",(AA105+AC105)/(1-AB105))</x:f>
      </x:c>
      <x:c r="AF105" s="363"/>
      <x:c r="AG105" s="363" t="str">
        <x:f>IF($A105="","",AA105/(1-AD105))</x:f>
      </x:c>
      <x:c r="AH105" s="363"/>
      <x:c r="AI105" s="363"/>
      <x:c r="AJ105" s="363" t="str">
        <x:f>IF($A105="","",IF(AI105&gt;0,IF(E105="Salla/Zid",AI105*(1-AB105)-AC105-Y105,IF(OR(E105="HungerStation",E105="ToYou",E105="The Chefz"),AI105*(1-AD105)-Y105,AI105-Y105)),""))</x:f>
      </x:c>
      <x:c r="AK105" s="388" t="str">
        <x:f>IF($A105="","",IF(Y105&gt;0,AJ105/Y105,""))</x:f>
      </x:c>
      <x:c r="AL105" s="364"/>
      <x:c r="AM105" s="365"/>
      <x:c r="AN105" s="389"/>
    </x:row>
    <x:row r="106">
      <x:c r="A106" s="361"/>
      <x:c r="B106" s="362"/>
      <x:c r="C106" s="362"/>
      <x:c r="D106" s="362"/>
      <x:c r="E106" s="362"/>
      <x:c r="F106" s="362"/>
      <x:c r="G106" s="362"/>
      <x:c r="H106" s="362"/>
      <x:c r="I106" s="363"/>
      <x:c r="J106" s="362"/>
      <x:c r="K106" s="362"/>
      <x:c r="L106" s="363"/>
      <x:c r="M106" s="362"/>
      <x:c r="N106" s="362"/>
      <x:c r="O106" s="363"/>
      <x:c r="P106" s="362"/>
      <x:c r="Q106" s="362"/>
      <x:c r="R106" s="363"/>
      <x:c r="S106" s="362"/>
      <x:c r="T106" s="362"/>
      <x:c r="U106" s="363"/>
      <x:c r="V106" s="363" t="str">
        <x:f>IF($A106="","",SUM(I106,L106,O106,R106,U106))</x:f>
      </x:c>
      <x:c r="W106" s="363" t="str">
        <x:f>IF($A106="","",'Pricing Rules'!$B$5)</x:f>
      </x:c>
      <x:c r="X106" s="363"/>
      <x:c r="Y106" s="363" t="str">
        <x:f>IF($A106="","",SUM(V106:X106))</x:f>
      </x:c>
      <x:c r="Z106" s="363" t="str">
        <x:f>IF($A106="","",Y106*'Pricing Rules'!$B$6)</x:f>
      </x:c>
      <x:c r="AA106" s="363" t="str">
        <x:f>IF($A106="","",Y106+Z106)</x:f>
      </x:c>
      <x:c r="AB106" s="388" t="str">
        <x:f>IF($A106="","",'Pricing Rules'!$B$7)</x:f>
      </x:c>
      <x:c r="AC106" s="363" t="str">
        <x:f>IF($A106="","",'Pricing Rules'!$B$8)</x:f>
      </x:c>
      <x:c r="AD106" s="388" t="str">
        <x:f>IF($A106="","",'Pricing Rules'!$B$9)</x:f>
      </x:c>
      <x:c r="AE106" s="363" t="str">
        <x:f>IF($A106="","",(AA106+AC106)/(1-AB106))</x:f>
      </x:c>
      <x:c r="AF106" s="363"/>
      <x:c r="AG106" s="363" t="str">
        <x:f>IF($A106="","",AA106/(1-AD106))</x:f>
      </x:c>
      <x:c r="AH106" s="363"/>
      <x:c r="AI106" s="363"/>
      <x:c r="AJ106" s="363" t="str">
        <x:f>IF($A106="","",IF(AI106&gt;0,IF(E106="Salla/Zid",AI106*(1-AB106)-AC106-Y106,IF(OR(E106="HungerStation",E106="ToYou",E106="The Chefz"),AI106*(1-AD106)-Y106,AI106-Y106)),""))</x:f>
      </x:c>
      <x:c r="AK106" s="388" t="str">
        <x:f>IF($A106="","",IF(Y106&gt;0,AJ106/Y106,""))</x:f>
      </x:c>
      <x:c r="AL106" s="364"/>
      <x:c r="AM106" s="365"/>
      <x:c r="AN106" s="389"/>
    </x:row>
    <x:row r="107">
      <x:c r="A107" s="361"/>
      <x:c r="B107" s="362"/>
      <x:c r="C107" s="362"/>
      <x:c r="D107" s="362"/>
      <x:c r="E107" s="362"/>
      <x:c r="F107" s="362"/>
      <x:c r="G107" s="362"/>
      <x:c r="H107" s="362"/>
      <x:c r="I107" s="363"/>
      <x:c r="J107" s="362"/>
      <x:c r="K107" s="362"/>
      <x:c r="L107" s="363"/>
      <x:c r="M107" s="362"/>
      <x:c r="N107" s="362"/>
      <x:c r="O107" s="363"/>
      <x:c r="P107" s="362"/>
      <x:c r="Q107" s="362"/>
      <x:c r="R107" s="363"/>
      <x:c r="S107" s="362"/>
      <x:c r="T107" s="362"/>
      <x:c r="U107" s="363"/>
      <x:c r="V107" s="363" t="str">
        <x:f>IF($A107="","",SUM(I107,L107,O107,R107,U107))</x:f>
      </x:c>
      <x:c r="W107" s="363" t="str">
        <x:f>IF($A107="","",'Pricing Rules'!$B$5)</x:f>
      </x:c>
      <x:c r="X107" s="363"/>
      <x:c r="Y107" s="363" t="str">
        <x:f>IF($A107="","",SUM(V107:X107))</x:f>
      </x:c>
      <x:c r="Z107" s="363" t="str">
        <x:f>IF($A107="","",Y107*'Pricing Rules'!$B$6)</x:f>
      </x:c>
      <x:c r="AA107" s="363" t="str">
        <x:f>IF($A107="","",Y107+Z107)</x:f>
      </x:c>
      <x:c r="AB107" s="388" t="str">
        <x:f>IF($A107="","",'Pricing Rules'!$B$7)</x:f>
      </x:c>
      <x:c r="AC107" s="363" t="str">
        <x:f>IF($A107="","",'Pricing Rules'!$B$8)</x:f>
      </x:c>
      <x:c r="AD107" s="388" t="str">
        <x:f>IF($A107="","",'Pricing Rules'!$B$9)</x:f>
      </x:c>
      <x:c r="AE107" s="363" t="str">
        <x:f>IF($A107="","",(AA107+AC107)/(1-AB107))</x:f>
      </x:c>
      <x:c r="AF107" s="363"/>
      <x:c r="AG107" s="363" t="str">
        <x:f>IF($A107="","",AA107/(1-AD107))</x:f>
      </x:c>
      <x:c r="AH107" s="363"/>
      <x:c r="AI107" s="363"/>
      <x:c r="AJ107" s="363" t="str">
        <x:f>IF($A107="","",IF(AI107&gt;0,IF(E107="Salla/Zid",AI107*(1-AB107)-AC107-Y107,IF(OR(E107="HungerStation",E107="ToYou",E107="The Chefz"),AI107*(1-AD107)-Y107,AI107-Y107)),""))</x:f>
      </x:c>
      <x:c r="AK107" s="388" t="str">
        <x:f>IF($A107="","",IF(Y107&gt;0,AJ107/Y107,""))</x:f>
      </x:c>
      <x:c r="AL107" s="364"/>
      <x:c r="AM107" s="365"/>
      <x:c r="AN107" s="389"/>
    </x:row>
    <x:row r="108">
      <x:c r="A108" s="361"/>
      <x:c r="B108" s="362"/>
      <x:c r="C108" s="362"/>
      <x:c r="D108" s="362"/>
      <x:c r="E108" s="362"/>
      <x:c r="F108" s="362"/>
      <x:c r="G108" s="362"/>
      <x:c r="H108" s="362"/>
      <x:c r="I108" s="363"/>
      <x:c r="J108" s="362"/>
      <x:c r="K108" s="362"/>
      <x:c r="L108" s="363"/>
      <x:c r="M108" s="362"/>
      <x:c r="N108" s="362"/>
      <x:c r="O108" s="363"/>
      <x:c r="P108" s="362"/>
      <x:c r="Q108" s="362"/>
      <x:c r="R108" s="363"/>
      <x:c r="S108" s="362"/>
      <x:c r="T108" s="362"/>
      <x:c r="U108" s="363"/>
      <x:c r="V108" s="363" t="str">
        <x:f>IF($A108="","",SUM(I108,L108,O108,R108,U108))</x:f>
      </x:c>
      <x:c r="W108" s="363" t="str">
        <x:f>IF($A108="","",'Pricing Rules'!$B$5)</x:f>
      </x:c>
      <x:c r="X108" s="363"/>
      <x:c r="Y108" s="363" t="str">
        <x:f>IF($A108="","",SUM(V108:X108))</x:f>
      </x:c>
      <x:c r="Z108" s="363" t="str">
        <x:f>IF($A108="","",Y108*'Pricing Rules'!$B$6)</x:f>
      </x:c>
      <x:c r="AA108" s="363" t="str">
        <x:f>IF($A108="","",Y108+Z108)</x:f>
      </x:c>
      <x:c r="AB108" s="388" t="str">
        <x:f>IF($A108="","",'Pricing Rules'!$B$7)</x:f>
      </x:c>
      <x:c r="AC108" s="363" t="str">
        <x:f>IF($A108="","",'Pricing Rules'!$B$8)</x:f>
      </x:c>
      <x:c r="AD108" s="388" t="str">
        <x:f>IF($A108="","",'Pricing Rules'!$B$9)</x:f>
      </x:c>
      <x:c r="AE108" s="363" t="str">
        <x:f>IF($A108="","",(AA108+AC108)/(1-AB108))</x:f>
      </x:c>
      <x:c r="AF108" s="363"/>
      <x:c r="AG108" s="363" t="str">
        <x:f>IF($A108="","",AA108/(1-AD108))</x:f>
      </x:c>
      <x:c r="AH108" s="363"/>
      <x:c r="AI108" s="363"/>
      <x:c r="AJ108" s="363" t="str">
        <x:f>IF($A108="","",IF(AI108&gt;0,IF(E108="Salla/Zid",AI108*(1-AB108)-AC108-Y108,IF(OR(E108="HungerStation",E108="ToYou",E108="The Chefz"),AI108*(1-AD108)-Y108,AI108-Y108)),""))</x:f>
      </x:c>
      <x:c r="AK108" s="388" t="str">
        <x:f>IF($A108="","",IF(Y108&gt;0,AJ108/Y108,""))</x:f>
      </x:c>
      <x:c r="AL108" s="364"/>
      <x:c r="AM108" s="365"/>
      <x:c r="AN108" s="389"/>
    </x:row>
    <x:row r="109">
      <x:c r="A109" s="361"/>
      <x:c r="B109" s="362"/>
      <x:c r="C109" s="362"/>
      <x:c r="D109" s="362"/>
      <x:c r="E109" s="362"/>
      <x:c r="F109" s="362"/>
      <x:c r="G109" s="362"/>
      <x:c r="H109" s="362"/>
      <x:c r="I109" s="363"/>
      <x:c r="J109" s="362"/>
      <x:c r="K109" s="362"/>
      <x:c r="L109" s="363"/>
      <x:c r="M109" s="362"/>
      <x:c r="N109" s="362"/>
      <x:c r="O109" s="363"/>
      <x:c r="P109" s="362"/>
      <x:c r="Q109" s="362"/>
      <x:c r="R109" s="363"/>
      <x:c r="S109" s="362"/>
      <x:c r="T109" s="362"/>
      <x:c r="U109" s="363"/>
      <x:c r="V109" s="363" t="str">
        <x:f>IF($A109="","",SUM(I109,L109,O109,R109,U109))</x:f>
      </x:c>
      <x:c r="W109" s="363" t="str">
        <x:f>IF($A109="","",'Pricing Rules'!$B$5)</x:f>
      </x:c>
      <x:c r="X109" s="363"/>
      <x:c r="Y109" s="363" t="str">
        <x:f>IF($A109="","",SUM(V109:X109))</x:f>
      </x:c>
      <x:c r="Z109" s="363" t="str">
        <x:f>IF($A109="","",Y109*'Pricing Rules'!$B$6)</x:f>
      </x:c>
      <x:c r="AA109" s="363" t="str">
        <x:f>IF($A109="","",Y109+Z109)</x:f>
      </x:c>
      <x:c r="AB109" s="388" t="str">
        <x:f>IF($A109="","",'Pricing Rules'!$B$7)</x:f>
      </x:c>
      <x:c r="AC109" s="363" t="str">
        <x:f>IF($A109="","",'Pricing Rules'!$B$8)</x:f>
      </x:c>
      <x:c r="AD109" s="388" t="str">
        <x:f>IF($A109="","",'Pricing Rules'!$B$9)</x:f>
      </x:c>
      <x:c r="AE109" s="363" t="str">
        <x:f>IF($A109="","",(AA109+AC109)/(1-AB109))</x:f>
      </x:c>
      <x:c r="AF109" s="363"/>
      <x:c r="AG109" s="363" t="str">
        <x:f>IF($A109="","",AA109/(1-AD109))</x:f>
      </x:c>
      <x:c r="AH109" s="363"/>
      <x:c r="AI109" s="363"/>
      <x:c r="AJ109" s="363" t="str">
        <x:f>IF($A109="","",IF(AI109&gt;0,IF(E109="Salla/Zid",AI109*(1-AB109)-AC109-Y109,IF(OR(E109="HungerStation",E109="ToYou",E109="The Chefz"),AI109*(1-AD109)-Y109,AI109-Y109)),""))</x:f>
      </x:c>
      <x:c r="AK109" s="388" t="str">
        <x:f>IF($A109="","",IF(Y109&gt;0,AJ109/Y109,""))</x:f>
      </x:c>
      <x:c r="AL109" s="364"/>
      <x:c r="AM109" s="365"/>
      <x:c r="AN109" s="389"/>
    </x:row>
    <x:row r="110">
      <x:c r="A110" s="361"/>
      <x:c r="B110" s="362"/>
      <x:c r="C110" s="362"/>
      <x:c r="D110" s="362"/>
      <x:c r="E110" s="362"/>
      <x:c r="F110" s="362"/>
      <x:c r="G110" s="362"/>
      <x:c r="H110" s="362"/>
      <x:c r="I110" s="363"/>
      <x:c r="J110" s="362"/>
      <x:c r="K110" s="362"/>
      <x:c r="L110" s="363"/>
      <x:c r="M110" s="362"/>
      <x:c r="N110" s="362"/>
      <x:c r="O110" s="363"/>
      <x:c r="P110" s="362"/>
      <x:c r="Q110" s="362"/>
      <x:c r="R110" s="363"/>
      <x:c r="S110" s="362"/>
      <x:c r="T110" s="362"/>
      <x:c r="U110" s="363"/>
      <x:c r="V110" s="363" t="str">
        <x:f>IF($A110="","",SUM(I110,L110,O110,R110,U110))</x:f>
      </x:c>
      <x:c r="W110" s="363" t="str">
        <x:f>IF($A110="","",'Pricing Rules'!$B$5)</x:f>
      </x:c>
      <x:c r="X110" s="363"/>
      <x:c r="Y110" s="363" t="str">
        <x:f>IF($A110="","",SUM(V110:X110))</x:f>
      </x:c>
      <x:c r="Z110" s="363" t="str">
        <x:f>IF($A110="","",Y110*'Pricing Rules'!$B$6)</x:f>
      </x:c>
      <x:c r="AA110" s="363" t="str">
        <x:f>IF($A110="","",Y110+Z110)</x:f>
      </x:c>
      <x:c r="AB110" s="388" t="str">
        <x:f>IF($A110="","",'Pricing Rules'!$B$7)</x:f>
      </x:c>
      <x:c r="AC110" s="363" t="str">
        <x:f>IF($A110="","",'Pricing Rules'!$B$8)</x:f>
      </x:c>
      <x:c r="AD110" s="388" t="str">
        <x:f>IF($A110="","",'Pricing Rules'!$B$9)</x:f>
      </x:c>
      <x:c r="AE110" s="363" t="str">
        <x:f>IF($A110="","",(AA110+AC110)/(1-AB110))</x:f>
      </x:c>
      <x:c r="AF110" s="363"/>
      <x:c r="AG110" s="363" t="str">
        <x:f>IF($A110="","",AA110/(1-AD110))</x:f>
      </x:c>
      <x:c r="AH110" s="363"/>
      <x:c r="AI110" s="363"/>
      <x:c r="AJ110" s="363" t="str">
        <x:f>IF($A110="","",IF(AI110&gt;0,IF(E110="Salla/Zid",AI110*(1-AB110)-AC110-Y110,IF(OR(E110="HungerStation",E110="ToYou",E110="The Chefz"),AI110*(1-AD110)-Y110,AI110-Y110)),""))</x:f>
      </x:c>
      <x:c r="AK110" s="388" t="str">
        <x:f>IF($A110="","",IF(Y110&gt;0,AJ110/Y110,""))</x:f>
      </x:c>
      <x:c r="AL110" s="364"/>
      <x:c r="AM110" s="365"/>
      <x:c r="AN110" s="389"/>
    </x:row>
    <x:row r="111">
      <x:c r="A111" s="361"/>
      <x:c r="B111" s="362"/>
      <x:c r="C111" s="362"/>
      <x:c r="D111" s="362"/>
      <x:c r="E111" s="362"/>
      <x:c r="F111" s="362"/>
      <x:c r="G111" s="362"/>
      <x:c r="H111" s="362"/>
      <x:c r="I111" s="363"/>
      <x:c r="J111" s="362"/>
      <x:c r="K111" s="362"/>
      <x:c r="L111" s="363"/>
      <x:c r="M111" s="362"/>
      <x:c r="N111" s="362"/>
      <x:c r="O111" s="363"/>
      <x:c r="P111" s="362"/>
      <x:c r="Q111" s="362"/>
      <x:c r="R111" s="363"/>
      <x:c r="S111" s="362"/>
      <x:c r="T111" s="362"/>
      <x:c r="U111" s="363"/>
      <x:c r="V111" s="363" t="str">
        <x:f>IF($A111="","",SUM(I111,L111,O111,R111,U111))</x:f>
      </x:c>
      <x:c r="W111" s="363" t="str">
        <x:f>IF($A111="","",'Pricing Rules'!$B$5)</x:f>
      </x:c>
      <x:c r="X111" s="363"/>
      <x:c r="Y111" s="363" t="str">
        <x:f>IF($A111="","",SUM(V111:X111))</x:f>
      </x:c>
      <x:c r="Z111" s="363" t="str">
        <x:f>IF($A111="","",Y111*'Pricing Rules'!$B$6)</x:f>
      </x:c>
      <x:c r="AA111" s="363" t="str">
        <x:f>IF($A111="","",Y111+Z111)</x:f>
      </x:c>
      <x:c r="AB111" s="388" t="str">
        <x:f>IF($A111="","",'Pricing Rules'!$B$7)</x:f>
      </x:c>
      <x:c r="AC111" s="363" t="str">
        <x:f>IF($A111="","",'Pricing Rules'!$B$8)</x:f>
      </x:c>
      <x:c r="AD111" s="388" t="str">
        <x:f>IF($A111="","",'Pricing Rules'!$B$9)</x:f>
      </x:c>
      <x:c r="AE111" s="363" t="str">
        <x:f>IF($A111="","",(AA111+AC111)/(1-AB111))</x:f>
      </x:c>
      <x:c r="AF111" s="363"/>
      <x:c r="AG111" s="363" t="str">
        <x:f>IF($A111="","",AA111/(1-AD111))</x:f>
      </x:c>
      <x:c r="AH111" s="363"/>
      <x:c r="AI111" s="363"/>
      <x:c r="AJ111" s="363" t="str">
        <x:f>IF($A111="","",IF(AI111&gt;0,IF(E111="Salla/Zid",AI111*(1-AB111)-AC111-Y111,IF(OR(E111="HungerStation",E111="ToYou",E111="The Chefz"),AI111*(1-AD111)-Y111,AI111-Y111)),""))</x:f>
      </x:c>
      <x:c r="AK111" s="388" t="str">
        <x:f>IF($A111="","",IF(Y111&gt;0,AJ111/Y111,""))</x:f>
      </x:c>
      <x:c r="AL111" s="364"/>
      <x:c r="AM111" s="365"/>
      <x:c r="AN111" s="389"/>
    </x:row>
    <x:row r="112">
      <x:c r="A112" s="361"/>
      <x:c r="B112" s="362"/>
      <x:c r="C112" s="362"/>
      <x:c r="D112" s="362"/>
      <x:c r="E112" s="362"/>
      <x:c r="F112" s="362"/>
      <x:c r="G112" s="362"/>
      <x:c r="H112" s="362"/>
      <x:c r="I112" s="363"/>
      <x:c r="J112" s="362"/>
      <x:c r="K112" s="362"/>
      <x:c r="L112" s="363"/>
      <x:c r="M112" s="362"/>
      <x:c r="N112" s="362"/>
      <x:c r="O112" s="363"/>
      <x:c r="P112" s="362"/>
      <x:c r="Q112" s="362"/>
      <x:c r="R112" s="363"/>
      <x:c r="S112" s="362"/>
      <x:c r="T112" s="362"/>
      <x:c r="U112" s="363"/>
      <x:c r="V112" s="363" t="str">
        <x:f>IF($A112="","",SUM(I112,L112,O112,R112,U112))</x:f>
      </x:c>
      <x:c r="W112" s="363" t="str">
        <x:f>IF($A112="","",'Pricing Rules'!$B$5)</x:f>
      </x:c>
      <x:c r="X112" s="363"/>
      <x:c r="Y112" s="363" t="str">
        <x:f>IF($A112="","",SUM(V112:X112))</x:f>
      </x:c>
      <x:c r="Z112" s="363" t="str">
        <x:f>IF($A112="","",Y112*'Pricing Rules'!$B$6)</x:f>
      </x:c>
      <x:c r="AA112" s="363" t="str">
        <x:f>IF($A112="","",Y112+Z112)</x:f>
      </x:c>
      <x:c r="AB112" s="388" t="str">
        <x:f>IF($A112="","",'Pricing Rules'!$B$7)</x:f>
      </x:c>
      <x:c r="AC112" s="363" t="str">
        <x:f>IF($A112="","",'Pricing Rules'!$B$8)</x:f>
      </x:c>
      <x:c r="AD112" s="388" t="str">
        <x:f>IF($A112="","",'Pricing Rules'!$B$9)</x:f>
      </x:c>
      <x:c r="AE112" s="363" t="str">
        <x:f>IF($A112="","",(AA112+AC112)/(1-AB112))</x:f>
      </x:c>
      <x:c r="AF112" s="363"/>
      <x:c r="AG112" s="363" t="str">
        <x:f>IF($A112="","",AA112/(1-AD112))</x:f>
      </x:c>
      <x:c r="AH112" s="363"/>
      <x:c r="AI112" s="363"/>
      <x:c r="AJ112" s="363" t="str">
        <x:f>IF($A112="","",IF(AI112&gt;0,IF(E112="Salla/Zid",AI112*(1-AB112)-AC112-Y112,IF(OR(E112="HungerStation",E112="ToYou",E112="The Chefz"),AI112*(1-AD112)-Y112,AI112-Y112)),""))</x:f>
      </x:c>
      <x:c r="AK112" s="388" t="str">
        <x:f>IF($A112="","",IF(Y112&gt;0,AJ112/Y112,""))</x:f>
      </x:c>
      <x:c r="AL112" s="364"/>
      <x:c r="AM112" s="365"/>
      <x:c r="AN112" s="389"/>
    </x:row>
    <x:row r="113">
      <x:c r="A113" s="361"/>
      <x:c r="B113" s="362"/>
      <x:c r="C113" s="362"/>
      <x:c r="D113" s="362"/>
      <x:c r="E113" s="362"/>
      <x:c r="F113" s="362"/>
      <x:c r="G113" s="362"/>
      <x:c r="H113" s="362"/>
      <x:c r="I113" s="363"/>
      <x:c r="J113" s="362"/>
      <x:c r="K113" s="362"/>
      <x:c r="L113" s="363"/>
      <x:c r="M113" s="362"/>
      <x:c r="N113" s="362"/>
      <x:c r="O113" s="363"/>
      <x:c r="P113" s="362"/>
      <x:c r="Q113" s="362"/>
      <x:c r="R113" s="363"/>
      <x:c r="S113" s="362"/>
      <x:c r="T113" s="362"/>
      <x:c r="U113" s="363"/>
      <x:c r="V113" s="363" t="str">
        <x:f>IF($A113="","",SUM(I113,L113,O113,R113,U113))</x:f>
      </x:c>
      <x:c r="W113" s="363" t="str">
        <x:f>IF($A113="","",'Pricing Rules'!$B$5)</x:f>
      </x:c>
      <x:c r="X113" s="363"/>
      <x:c r="Y113" s="363" t="str">
        <x:f>IF($A113="","",SUM(V113:X113))</x:f>
      </x:c>
      <x:c r="Z113" s="363" t="str">
        <x:f>IF($A113="","",Y113*'Pricing Rules'!$B$6)</x:f>
      </x:c>
      <x:c r="AA113" s="363" t="str">
        <x:f>IF($A113="","",Y113+Z113)</x:f>
      </x:c>
      <x:c r="AB113" s="388" t="str">
        <x:f>IF($A113="","",'Pricing Rules'!$B$7)</x:f>
      </x:c>
      <x:c r="AC113" s="363" t="str">
        <x:f>IF($A113="","",'Pricing Rules'!$B$8)</x:f>
      </x:c>
      <x:c r="AD113" s="388" t="str">
        <x:f>IF($A113="","",'Pricing Rules'!$B$9)</x:f>
      </x:c>
      <x:c r="AE113" s="363" t="str">
        <x:f>IF($A113="","",(AA113+AC113)/(1-AB113))</x:f>
      </x:c>
      <x:c r="AF113" s="363"/>
      <x:c r="AG113" s="363" t="str">
        <x:f>IF($A113="","",AA113/(1-AD113))</x:f>
      </x:c>
      <x:c r="AH113" s="363"/>
      <x:c r="AI113" s="363"/>
      <x:c r="AJ113" s="363" t="str">
        <x:f>IF($A113="","",IF(AI113&gt;0,IF(E113="Salla/Zid",AI113*(1-AB113)-AC113-Y113,IF(OR(E113="HungerStation",E113="ToYou",E113="The Chefz"),AI113*(1-AD113)-Y113,AI113-Y113)),""))</x:f>
      </x:c>
      <x:c r="AK113" s="388" t="str">
        <x:f>IF($A113="","",IF(Y113&gt;0,AJ113/Y113,""))</x:f>
      </x:c>
      <x:c r="AL113" s="364"/>
      <x:c r="AM113" s="365"/>
      <x:c r="AN113" s="389"/>
    </x:row>
    <x:row r="114">
      <x:c r="A114" s="361"/>
      <x:c r="B114" s="362"/>
      <x:c r="C114" s="362"/>
      <x:c r="D114" s="362"/>
      <x:c r="E114" s="362"/>
      <x:c r="F114" s="362"/>
      <x:c r="G114" s="362"/>
      <x:c r="H114" s="362"/>
      <x:c r="I114" s="363"/>
      <x:c r="J114" s="362"/>
      <x:c r="K114" s="362"/>
      <x:c r="L114" s="363"/>
      <x:c r="M114" s="362"/>
      <x:c r="N114" s="362"/>
      <x:c r="O114" s="363"/>
      <x:c r="P114" s="362"/>
      <x:c r="Q114" s="362"/>
      <x:c r="R114" s="363"/>
      <x:c r="S114" s="362"/>
      <x:c r="T114" s="362"/>
      <x:c r="U114" s="363"/>
      <x:c r="V114" s="363" t="str">
        <x:f>IF($A114="","",SUM(I114,L114,O114,R114,U114))</x:f>
      </x:c>
      <x:c r="W114" s="363" t="str">
        <x:f>IF($A114="","",'Pricing Rules'!$B$5)</x:f>
      </x:c>
      <x:c r="X114" s="363"/>
      <x:c r="Y114" s="363" t="str">
        <x:f>IF($A114="","",SUM(V114:X114))</x:f>
      </x:c>
      <x:c r="Z114" s="363" t="str">
        <x:f>IF($A114="","",Y114*'Pricing Rules'!$B$6)</x:f>
      </x:c>
      <x:c r="AA114" s="363" t="str">
        <x:f>IF($A114="","",Y114+Z114)</x:f>
      </x:c>
      <x:c r="AB114" s="388" t="str">
        <x:f>IF($A114="","",'Pricing Rules'!$B$7)</x:f>
      </x:c>
      <x:c r="AC114" s="363" t="str">
        <x:f>IF($A114="","",'Pricing Rules'!$B$8)</x:f>
      </x:c>
      <x:c r="AD114" s="388" t="str">
        <x:f>IF($A114="","",'Pricing Rules'!$B$9)</x:f>
      </x:c>
      <x:c r="AE114" s="363" t="str">
        <x:f>IF($A114="","",(AA114+AC114)/(1-AB114))</x:f>
      </x:c>
      <x:c r="AF114" s="363"/>
      <x:c r="AG114" s="363" t="str">
        <x:f>IF($A114="","",AA114/(1-AD114))</x:f>
      </x:c>
      <x:c r="AH114" s="363"/>
      <x:c r="AI114" s="363"/>
      <x:c r="AJ114" s="363" t="str">
        <x:f>IF($A114="","",IF(AI114&gt;0,IF(E114="Salla/Zid",AI114*(1-AB114)-AC114-Y114,IF(OR(E114="HungerStation",E114="ToYou",E114="The Chefz"),AI114*(1-AD114)-Y114,AI114-Y114)),""))</x:f>
      </x:c>
      <x:c r="AK114" s="388" t="str">
        <x:f>IF($A114="","",IF(Y114&gt;0,AJ114/Y114,""))</x:f>
      </x:c>
      <x:c r="AL114" s="364"/>
      <x:c r="AM114" s="365"/>
      <x:c r="AN114" s="389"/>
    </x:row>
    <x:row r="115">
      <x:c r="A115" s="361"/>
      <x:c r="B115" s="362"/>
      <x:c r="C115" s="362"/>
      <x:c r="D115" s="362"/>
      <x:c r="E115" s="362"/>
      <x:c r="F115" s="362"/>
      <x:c r="G115" s="362"/>
      <x:c r="H115" s="362"/>
      <x:c r="I115" s="363"/>
      <x:c r="J115" s="362"/>
      <x:c r="K115" s="362"/>
      <x:c r="L115" s="363"/>
      <x:c r="M115" s="362"/>
      <x:c r="N115" s="362"/>
      <x:c r="O115" s="363"/>
      <x:c r="P115" s="362"/>
      <x:c r="Q115" s="362"/>
      <x:c r="R115" s="363"/>
      <x:c r="S115" s="362"/>
      <x:c r="T115" s="362"/>
      <x:c r="U115" s="363"/>
      <x:c r="V115" s="363" t="str">
        <x:f>IF($A115="","",SUM(I115,L115,O115,R115,U115))</x:f>
      </x:c>
      <x:c r="W115" s="363" t="str">
        <x:f>IF($A115="","",'Pricing Rules'!$B$5)</x:f>
      </x:c>
      <x:c r="X115" s="363"/>
      <x:c r="Y115" s="363" t="str">
        <x:f>IF($A115="","",SUM(V115:X115))</x:f>
      </x:c>
      <x:c r="Z115" s="363" t="str">
        <x:f>IF($A115="","",Y115*'Pricing Rules'!$B$6)</x:f>
      </x:c>
      <x:c r="AA115" s="363" t="str">
        <x:f>IF($A115="","",Y115+Z115)</x:f>
      </x:c>
      <x:c r="AB115" s="388" t="str">
        <x:f>IF($A115="","",'Pricing Rules'!$B$7)</x:f>
      </x:c>
      <x:c r="AC115" s="363" t="str">
        <x:f>IF($A115="","",'Pricing Rules'!$B$8)</x:f>
      </x:c>
      <x:c r="AD115" s="388" t="str">
        <x:f>IF($A115="","",'Pricing Rules'!$B$9)</x:f>
      </x:c>
      <x:c r="AE115" s="363" t="str">
        <x:f>IF($A115="","",(AA115+AC115)/(1-AB115))</x:f>
      </x:c>
      <x:c r="AF115" s="363"/>
      <x:c r="AG115" s="363" t="str">
        <x:f>IF($A115="","",AA115/(1-AD115))</x:f>
      </x:c>
      <x:c r="AH115" s="363"/>
      <x:c r="AI115" s="363"/>
      <x:c r="AJ115" s="363" t="str">
        <x:f>IF($A115="","",IF(AI115&gt;0,IF(E115="Salla/Zid",AI115*(1-AB115)-AC115-Y115,IF(OR(E115="HungerStation",E115="ToYou",E115="The Chefz"),AI115*(1-AD115)-Y115,AI115-Y115)),""))</x:f>
      </x:c>
      <x:c r="AK115" s="388" t="str">
        <x:f>IF($A115="","",IF(Y115&gt;0,AJ115/Y115,""))</x:f>
      </x:c>
      <x:c r="AL115" s="364"/>
      <x:c r="AM115" s="365"/>
      <x:c r="AN115" s="389"/>
    </x:row>
    <x:row r="116">
      <x:c r="A116" s="361"/>
      <x:c r="B116" s="362"/>
      <x:c r="C116" s="362"/>
      <x:c r="D116" s="362"/>
      <x:c r="E116" s="362"/>
      <x:c r="F116" s="362"/>
      <x:c r="G116" s="362"/>
      <x:c r="H116" s="362"/>
      <x:c r="I116" s="363"/>
      <x:c r="J116" s="362"/>
      <x:c r="K116" s="362"/>
      <x:c r="L116" s="363"/>
      <x:c r="M116" s="362"/>
      <x:c r="N116" s="362"/>
      <x:c r="O116" s="363"/>
      <x:c r="P116" s="362"/>
      <x:c r="Q116" s="362"/>
      <x:c r="R116" s="363"/>
      <x:c r="S116" s="362"/>
      <x:c r="T116" s="362"/>
      <x:c r="U116" s="363"/>
      <x:c r="V116" s="363" t="str">
        <x:f>IF($A116="","",SUM(I116,L116,O116,R116,U116))</x:f>
      </x:c>
      <x:c r="W116" s="363" t="str">
        <x:f>IF($A116="","",'Pricing Rules'!$B$5)</x:f>
      </x:c>
      <x:c r="X116" s="363"/>
      <x:c r="Y116" s="363" t="str">
        <x:f>IF($A116="","",SUM(V116:X116))</x:f>
      </x:c>
      <x:c r="Z116" s="363" t="str">
        <x:f>IF($A116="","",Y116*'Pricing Rules'!$B$6)</x:f>
      </x:c>
      <x:c r="AA116" s="363" t="str">
        <x:f>IF($A116="","",Y116+Z116)</x:f>
      </x:c>
      <x:c r="AB116" s="388" t="str">
        <x:f>IF($A116="","",'Pricing Rules'!$B$7)</x:f>
      </x:c>
      <x:c r="AC116" s="363" t="str">
        <x:f>IF($A116="","",'Pricing Rules'!$B$8)</x:f>
      </x:c>
      <x:c r="AD116" s="388" t="str">
        <x:f>IF($A116="","",'Pricing Rules'!$B$9)</x:f>
      </x:c>
      <x:c r="AE116" s="363" t="str">
        <x:f>IF($A116="","",(AA116+AC116)/(1-AB116))</x:f>
      </x:c>
      <x:c r="AF116" s="363"/>
      <x:c r="AG116" s="363" t="str">
        <x:f>IF($A116="","",AA116/(1-AD116))</x:f>
      </x:c>
      <x:c r="AH116" s="363"/>
      <x:c r="AI116" s="363"/>
      <x:c r="AJ116" s="363" t="str">
        <x:f>IF($A116="","",IF(AI116&gt;0,IF(E116="Salla/Zid",AI116*(1-AB116)-AC116-Y116,IF(OR(E116="HungerStation",E116="ToYou",E116="The Chefz"),AI116*(1-AD116)-Y116,AI116-Y116)),""))</x:f>
      </x:c>
      <x:c r="AK116" s="388" t="str">
        <x:f>IF($A116="","",IF(Y116&gt;0,AJ116/Y116,""))</x:f>
      </x:c>
      <x:c r="AL116" s="364"/>
      <x:c r="AM116" s="365"/>
      <x:c r="AN116" s="389"/>
    </x:row>
    <x:row r="117">
      <x:c r="A117" s="361"/>
      <x:c r="B117" s="362"/>
      <x:c r="C117" s="362"/>
      <x:c r="D117" s="362"/>
      <x:c r="E117" s="362"/>
      <x:c r="F117" s="362"/>
      <x:c r="G117" s="362"/>
      <x:c r="H117" s="362"/>
      <x:c r="I117" s="363"/>
      <x:c r="J117" s="362"/>
      <x:c r="K117" s="362"/>
      <x:c r="L117" s="363"/>
      <x:c r="M117" s="362"/>
      <x:c r="N117" s="362"/>
      <x:c r="O117" s="363"/>
      <x:c r="P117" s="362"/>
      <x:c r="Q117" s="362"/>
      <x:c r="R117" s="363"/>
      <x:c r="S117" s="362"/>
      <x:c r="T117" s="362"/>
      <x:c r="U117" s="363"/>
      <x:c r="V117" s="363" t="str">
        <x:f>IF($A117="","",SUM(I117,L117,O117,R117,U117))</x:f>
      </x:c>
      <x:c r="W117" s="363" t="str">
        <x:f>IF($A117="","",'Pricing Rules'!$B$5)</x:f>
      </x:c>
      <x:c r="X117" s="363"/>
      <x:c r="Y117" s="363" t="str">
        <x:f>IF($A117="","",SUM(V117:X117))</x:f>
      </x:c>
      <x:c r="Z117" s="363" t="str">
        <x:f>IF($A117="","",Y117*'Pricing Rules'!$B$6)</x:f>
      </x:c>
      <x:c r="AA117" s="363" t="str">
        <x:f>IF($A117="","",Y117+Z117)</x:f>
      </x:c>
      <x:c r="AB117" s="388" t="str">
        <x:f>IF($A117="","",'Pricing Rules'!$B$7)</x:f>
      </x:c>
      <x:c r="AC117" s="363" t="str">
        <x:f>IF($A117="","",'Pricing Rules'!$B$8)</x:f>
      </x:c>
      <x:c r="AD117" s="388" t="str">
        <x:f>IF($A117="","",'Pricing Rules'!$B$9)</x:f>
      </x:c>
      <x:c r="AE117" s="363" t="str">
        <x:f>IF($A117="","",(AA117+AC117)/(1-AB117))</x:f>
      </x:c>
      <x:c r="AF117" s="363"/>
      <x:c r="AG117" s="363" t="str">
        <x:f>IF($A117="","",AA117/(1-AD117))</x:f>
      </x:c>
      <x:c r="AH117" s="363"/>
      <x:c r="AI117" s="363"/>
      <x:c r="AJ117" s="363" t="str">
        <x:f>IF($A117="","",IF(AI117&gt;0,IF(E117="Salla/Zid",AI117*(1-AB117)-AC117-Y117,IF(OR(E117="HungerStation",E117="ToYou",E117="The Chefz"),AI117*(1-AD117)-Y117,AI117-Y117)),""))</x:f>
      </x:c>
      <x:c r="AK117" s="388" t="str">
        <x:f>IF($A117="","",IF(Y117&gt;0,AJ117/Y117,""))</x:f>
      </x:c>
      <x:c r="AL117" s="364"/>
      <x:c r="AM117" s="365"/>
      <x:c r="AN117" s="389"/>
    </x:row>
    <x:row r="118">
      <x:c r="A118" s="361"/>
      <x:c r="B118" s="362"/>
      <x:c r="C118" s="362"/>
      <x:c r="D118" s="362"/>
      <x:c r="E118" s="362"/>
      <x:c r="F118" s="362"/>
      <x:c r="G118" s="362"/>
      <x:c r="H118" s="362"/>
      <x:c r="I118" s="363"/>
      <x:c r="J118" s="362"/>
      <x:c r="K118" s="362"/>
      <x:c r="L118" s="363"/>
      <x:c r="M118" s="362"/>
      <x:c r="N118" s="362"/>
      <x:c r="O118" s="363"/>
      <x:c r="P118" s="362"/>
      <x:c r="Q118" s="362"/>
      <x:c r="R118" s="363"/>
      <x:c r="S118" s="362"/>
      <x:c r="T118" s="362"/>
      <x:c r="U118" s="363"/>
      <x:c r="V118" s="363" t="str">
        <x:f>IF($A118="","",SUM(I118,L118,O118,R118,U118))</x:f>
      </x:c>
      <x:c r="W118" s="363" t="str">
        <x:f>IF($A118="","",'Pricing Rules'!$B$5)</x:f>
      </x:c>
      <x:c r="X118" s="363"/>
      <x:c r="Y118" s="363" t="str">
        <x:f>IF($A118="","",SUM(V118:X118))</x:f>
      </x:c>
      <x:c r="Z118" s="363" t="str">
        <x:f>IF($A118="","",Y118*'Pricing Rules'!$B$6)</x:f>
      </x:c>
      <x:c r="AA118" s="363" t="str">
        <x:f>IF($A118="","",Y118+Z118)</x:f>
      </x:c>
      <x:c r="AB118" s="388" t="str">
        <x:f>IF($A118="","",'Pricing Rules'!$B$7)</x:f>
      </x:c>
      <x:c r="AC118" s="363" t="str">
        <x:f>IF($A118="","",'Pricing Rules'!$B$8)</x:f>
      </x:c>
      <x:c r="AD118" s="388" t="str">
        <x:f>IF($A118="","",'Pricing Rules'!$B$9)</x:f>
      </x:c>
      <x:c r="AE118" s="363" t="str">
        <x:f>IF($A118="","",(AA118+AC118)/(1-AB118))</x:f>
      </x:c>
      <x:c r="AF118" s="363"/>
      <x:c r="AG118" s="363" t="str">
        <x:f>IF($A118="","",AA118/(1-AD118))</x:f>
      </x:c>
      <x:c r="AH118" s="363"/>
      <x:c r="AI118" s="363"/>
      <x:c r="AJ118" s="363" t="str">
        <x:f>IF($A118="","",IF(AI118&gt;0,IF(E118="Salla/Zid",AI118*(1-AB118)-AC118-Y118,IF(OR(E118="HungerStation",E118="ToYou",E118="The Chefz"),AI118*(1-AD118)-Y118,AI118-Y118)),""))</x:f>
      </x:c>
      <x:c r="AK118" s="388" t="str">
        <x:f>IF($A118="","",IF(Y118&gt;0,AJ118/Y118,""))</x:f>
      </x:c>
      <x:c r="AL118" s="364"/>
      <x:c r="AM118" s="365"/>
      <x:c r="AN118" s="389"/>
    </x:row>
    <x:row r="119">
      <x:c r="A119" s="361"/>
      <x:c r="B119" s="362"/>
      <x:c r="C119" s="362"/>
      <x:c r="D119" s="362"/>
      <x:c r="E119" s="362"/>
      <x:c r="F119" s="362"/>
      <x:c r="G119" s="362"/>
      <x:c r="H119" s="362"/>
      <x:c r="I119" s="363"/>
      <x:c r="J119" s="362"/>
      <x:c r="K119" s="362"/>
      <x:c r="L119" s="363"/>
      <x:c r="M119" s="362"/>
      <x:c r="N119" s="362"/>
      <x:c r="O119" s="363"/>
      <x:c r="P119" s="362"/>
      <x:c r="Q119" s="362"/>
      <x:c r="R119" s="363"/>
      <x:c r="S119" s="362"/>
      <x:c r="T119" s="362"/>
      <x:c r="U119" s="363"/>
      <x:c r="V119" s="363" t="str">
        <x:f>IF($A119="","",SUM(I119,L119,O119,R119,U119))</x:f>
      </x:c>
      <x:c r="W119" s="363" t="str">
        <x:f>IF($A119="","",'Pricing Rules'!$B$5)</x:f>
      </x:c>
      <x:c r="X119" s="363"/>
      <x:c r="Y119" s="363" t="str">
        <x:f>IF($A119="","",SUM(V119:X119))</x:f>
      </x:c>
      <x:c r="Z119" s="363" t="str">
        <x:f>IF($A119="","",Y119*'Pricing Rules'!$B$6)</x:f>
      </x:c>
      <x:c r="AA119" s="363" t="str">
        <x:f>IF($A119="","",Y119+Z119)</x:f>
      </x:c>
      <x:c r="AB119" s="388" t="str">
        <x:f>IF($A119="","",'Pricing Rules'!$B$7)</x:f>
      </x:c>
      <x:c r="AC119" s="363" t="str">
        <x:f>IF($A119="","",'Pricing Rules'!$B$8)</x:f>
      </x:c>
      <x:c r="AD119" s="388" t="str">
        <x:f>IF($A119="","",'Pricing Rules'!$B$9)</x:f>
      </x:c>
      <x:c r="AE119" s="363" t="str">
        <x:f>IF($A119="","",(AA119+AC119)/(1-AB119))</x:f>
      </x:c>
      <x:c r="AF119" s="363"/>
      <x:c r="AG119" s="363" t="str">
        <x:f>IF($A119="","",AA119/(1-AD119))</x:f>
      </x:c>
      <x:c r="AH119" s="363"/>
      <x:c r="AI119" s="363"/>
      <x:c r="AJ119" s="363" t="str">
        <x:f>IF($A119="","",IF(AI119&gt;0,IF(E119="Salla/Zid",AI119*(1-AB119)-AC119-Y119,IF(OR(E119="HungerStation",E119="ToYou",E119="The Chefz"),AI119*(1-AD119)-Y119,AI119-Y119)),""))</x:f>
      </x:c>
      <x:c r="AK119" s="388" t="str">
        <x:f>IF($A119="","",IF(Y119&gt;0,AJ119/Y119,""))</x:f>
      </x:c>
      <x:c r="AL119" s="364"/>
      <x:c r="AM119" s="365"/>
      <x:c r="AN119" s="389"/>
    </x:row>
    <x:row r="120">
      <x:c r="A120" s="361"/>
      <x:c r="B120" s="362"/>
      <x:c r="C120" s="362"/>
      <x:c r="D120" s="362"/>
      <x:c r="E120" s="362"/>
      <x:c r="F120" s="362"/>
      <x:c r="G120" s="362"/>
      <x:c r="H120" s="362"/>
      <x:c r="I120" s="363"/>
      <x:c r="J120" s="362"/>
      <x:c r="K120" s="362"/>
      <x:c r="L120" s="363"/>
      <x:c r="M120" s="362"/>
      <x:c r="N120" s="362"/>
      <x:c r="O120" s="363"/>
      <x:c r="P120" s="362"/>
      <x:c r="Q120" s="362"/>
      <x:c r="R120" s="363"/>
      <x:c r="S120" s="362"/>
      <x:c r="T120" s="362"/>
      <x:c r="U120" s="363"/>
      <x:c r="V120" s="363" t="str">
        <x:f>IF($A120="","",SUM(I120,L120,O120,R120,U120))</x:f>
      </x:c>
      <x:c r="W120" s="363" t="str">
        <x:f>IF($A120="","",'Pricing Rules'!$B$5)</x:f>
      </x:c>
      <x:c r="X120" s="363"/>
      <x:c r="Y120" s="363" t="str">
        <x:f>IF($A120="","",SUM(V120:X120))</x:f>
      </x:c>
      <x:c r="Z120" s="363" t="str">
        <x:f>IF($A120="","",Y120*'Pricing Rules'!$B$6)</x:f>
      </x:c>
      <x:c r="AA120" s="363" t="str">
        <x:f>IF($A120="","",Y120+Z120)</x:f>
      </x:c>
      <x:c r="AB120" s="388" t="str">
        <x:f>IF($A120="","",'Pricing Rules'!$B$7)</x:f>
      </x:c>
      <x:c r="AC120" s="363" t="str">
        <x:f>IF($A120="","",'Pricing Rules'!$B$8)</x:f>
      </x:c>
      <x:c r="AD120" s="388" t="str">
        <x:f>IF($A120="","",'Pricing Rules'!$B$9)</x:f>
      </x:c>
      <x:c r="AE120" s="363" t="str">
        <x:f>IF($A120="","",(AA120+AC120)/(1-AB120))</x:f>
      </x:c>
      <x:c r="AF120" s="363"/>
      <x:c r="AG120" s="363" t="str">
        <x:f>IF($A120="","",AA120/(1-AD120))</x:f>
      </x:c>
      <x:c r="AH120" s="363"/>
      <x:c r="AI120" s="363"/>
      <x:c r="AJ120" s="363" t="str">
        <x:f>IF($A120="","",IF(AI120&gt;0,IF(E120="Salla/Zid",AI120*(1-AB120)-AC120-Y120,IF(OR(E120="HungerStation",E120="ToYou",E120="The Chefz"),AI120*(1-AD120)-Y120,AI120-Y120)),""))</x:f>
      </x:c>
      <x:c r="AK120" s="388" t="str">
        <x:f>IF($A120="","",IF(Y120&gt;0,AJ120/Y120,""))</x:f>
      </x:c>
      <x:c r="AL120" s="364"/>
      <x:c r="AM120" s="365"/>
      <x:c r="AN120" s="389"/>
    </x:row>
    <x:row r="121">
      <x:c r="A121" s="361"/>
      <x:c r="B121" s="362"/>
      <x:c r="C121" s="362"/>
      <x:c r="D121" s="362"/>
      <x:c r="E121" s="362"/>
      <x:c r="F121" s="362"/>
      <x:c r="G121" s="362"/>
      <x:c r="H121" s="362"/>
      <x:c r="I121" s="363"/>
      <x:c r="J121" s="362"/>
      <x:c r="K121" s="362"/>
      <x:c r="L121" s="363"/>
      <x:c r="M121" s="362"/>
      <x:c r="N121" s="362"/>
      <x:c r="O121" s="363"/>
      <x:c r="P121" s="362"/>
      <x:c r="Q121" s="362"/>
      <x:c r="R121" s="363"/>
      <x:c r="S121" s="362"/>
      <x:c r="T121" s="362"/>
      <x:c r="U121" s="363"/>
      <x:c r="V121" s="363" t="str">
        <x:f>IF($A121="","",SUM(I121,L121,O121,R121,U121))</x:f>
      </x:c>
      <x:c r="W121" s="363" t="str">
        <x:f>IF($A121="","",'Pricing Rules'!$B$5)</x:f>
      </x:c>
      <x:c r="X121" s="363"/>
      <x:c r="Y121" s="363" t="str">
        <x:f>IF($A121="","",SUM(V121:X121))</x:f>
      </x:c>
      <x:c r="Z121" s="363" t="str">
        <x:f>IF($A121="","",Y121*'Pricing Rules'!$B$6)</x:f>
      </x:c>
      <x:c r="AA121" s="363" t="str">
        <x:f>IF($A121="","",Y121+Z121)</x:f>
      </x:c>
      <x:c r="AB121" s="388" t="str">
        <x:f>IF($A121="","",'Pricing Rules'!$B$7)</x:f>
      </x:c>
      <x:c r="AC121" s="363" t="str">
        <x:f>IF($A121="","",'Pricing Rules'!$B$8)</x:f>
      </x:c>
      <x:c r="AD121" s="388" t="str">
        <x:f>IF($A121="","",'Pricing Rules'!$B$9)</x:f>
      </x:c>
      <x:c r="AE121" s="363" t="str">
        <x:f>IF($A121="","",(AA121+AC121)/(1-AB121))</x:f>
      </x:c>
      <x:c r="AF121" s="363"/>
      <x:c r="AG121" s="363" t="str">
        <x:f>IF($A121="","",AA121/(1-AD121))</x:f>
      </x:c>
      <x:c r="AH121" s="363"/>
      <x:c r="AI121" s="363"/>
      <x:c r="AJ121" s="363" t="str">
        <x:f>IF($A121="","",IF(AI121&gt;0,IF(E121="Salla/Zid",AI121*(1-AB121)-AC121-Y121,IF(OR(E121="HungerStation",E121="ToYou",E121="The Chefz"),AI121*(1-AD121)-Y121,AI121-Y121)),""))</x:f>
      </x:c>
      <x:c r="AK121" s="388" t="str">
        <x:f>IF($A121="","",IF(Y121&gt;0,AJ121/Y121,""))</x:f>
      </x:c>
      <x:c r="AL121" s="364"/>
      <x:c r="AM121" s="365"/>
      <x:c r="AN121" s="389"/>
    </x:row>
    <x:row r="122">
      <x:c r="A122" s="361"/>
      <x:c r="B122" s="362"/>
      <x:c r="C122" s="362"/>
      <x:c r="D122" s="362"/>
      <x:c r="E122" s="362"/>
      <x:c r="F122" s="362"/>
      <x:c r="G122" s="362"/>
      <x:c r="H122" s="362"/>
      <x:c r="I122" s="363"/>
      <x:c r="J122" s="362"/>
      <x:c r="K122" s="362"/>
      <x:c r="L122" s="363"/>
      <x:c r="M122" s="362"/>
      <x:c r="N122" s="362"/>
      <x:c r="O122" s="363"/>
      <x:c r="P122" s="362"/>
      <x:c r="Q122" s="362"/>
      <x:c r="R122" s="363"/>
      <x:c r="S122" s="362"/>
      <x:c r="T122" s="362"/>
      <x:c r="U122" s="363"/>
      <x:c r="V122" s="363" t="str">
        <x:f>IF($A122="","",SUM(I122,L122,O122,R122,U122))</x:f>
      </x:c>
      <x:c r="W122" s="363" t="str">
        <x:f>IF($A122="","",'Pricing Rules'!$B$5)</x:f>
      </x:c>
      <x:c r="X122" s="363"/>
      <x:c r="Y122" s="363" t="str">
        <x:f>IF($A122="","",SUM(V122:X122))</x:f>
      </x:c>
      <x:c r="Z122" s="363" t="str">
        <x:f>IF($A122="","",Y122*'Pricing Rules'!$B$6)</x:f>
      </x:c>
      <x:c r="AA122" s="363" t="str">
        <x:f>IF($A122="","",Y122+Z122)</x:f>
      </x:c>
      <x:c r="AB122" s="388" t="str">
        <x:f>IF($A122="","",'Pricing Rules'!$B$7)</x:f>
      </x:c>
      <x:c r="AC122" s="363" t="str">
        <x:f>IF($A122="","",'Pricing Rules'!$B$8)</x:f>
      </x:c>
      <x:c r="AD122" s="388" t="str">
        <x:f>IF($A122="","",'Pricing Rules'!$B$9)</x:f>
      </x:c>
      <x:c r="AE122" s="363" t="str">
        <x:f>IF($A122="","",(AA122+AC122)/(1-AB122))</x:f>
      </x:c>
      <x:c r="AF122" s="363"/>
      <x:c r="AG122" s="363" t="str">
        <x:f>IF($A122="","",AA122/(1-AD122))</x:f>
      </x:c>
      <x:c r="AH122" s="363"/>
      <x:c r="AI122" s="363"/>
      <x:c r="AJ122" s="363" t="str">
        <x:f>IF($A122="","",IF(AI122&gt;0,IF(E122="Salla/Zid",AI122*(1-AB122)-AC122-Y122,IF(OR(E122="HungerStation",E122="ToYou",E122="The Chefz"),AI122*(1-AD122)-Y122,AI122-Y122)),""))</x:f>
      </x:c>
      <x:c r="AK122" s="388" t="str">
        <x:f>IF($A122="","",IF(Y122&gt;0,AJ122/Y122,""))</x:f>
      </x:c>
      <x:c r="AL122" s="364"/>
      <x:c r="AM122" s="365"/>
      <x:c r="AN122" s="389"/>
    </x:row>
    <x:row r="123">
      <x:c r="A123" s="361"/>
      <x:c r="B123" s="362"/>
      <x:c r="C123" s="362"/>
      <x:c r="D123" s="362"/>
      <x:c r="E123" s="362"/>
      <x:c r="F123" s="362"/>
      <x:c r="G123" s="362"/>
      <x:c r="H123" s="362"/>
      <x:c r="I123" s="363"/>
      <x:c r="J123" s="362"/>
      <x:c r="K123" s="362"/>
      <x:c r="L123" s="363"/>
      <x:c r="M123" s="362"/>
      <x:c r="N123" s="362"/>
      <x:c r="O123" s="363"/>
      <x:c r="P123" s="362"/>
      <x:c r="Q123" s="362"/>
      <x:c r="R123" s="363"/>
      <x:c r="S123" s="362"/>
      <x:c r="T123" s="362"/>
      <x:c r="U123" s="363"/>
      <x:c r="V123" s="363" t="str">
        <x:f>IF($A123="","",SUM(I123,L123,O123,R123,U123))</x:f>
      </x:c>
      <x:c r="W123" s="363" t="str">
        <x:f>IF($A123="","",'Pricing Rules'!$B$5)</x:f>
      </x:c>
      <x:c r="X123" s="363"/>
      <x:c r="Y123" s="363" t="str">
        <x:f>IF($A123="","",SUM(V123:X123))</x:f>
      </x:c>
      <x:c r="Z123" s="363" t="str">
        <x:f>IF($A123="","",Y123*'Pricing Rules'!$B$6)</x:f>
      </x:c>
      <x:c r="AA123" s="363" t="str">
        <x:f>IF($A123="","",Y123+Z123)</x:f>
      </x:c>
      <x:c r="AB123" s="388" t="str">
        <x:f>IF($A123="","",'Pricing Rules'!$B$7)</x:f>
      </x:c>
      <x:c r="AC123" s="363" t="str">
        <x:f>IF($A123="","",'Pricing Rules'!$B$8)</x:f>
      </x:c>
      <x:c r="AD123" s="388" t="str">
        <x:f>IF($A123="","",'Pricing Rules'!$B$9)</x:f>
      </x:c>
      <x:c r="AE123" s="363" t="str">
        <x:f>IF($A123="","",(AA123+AC123)/(1-AB123))</x:f>
      </x:c>
      <x:c r="AF123" s="363"/>
      <x:c r="AG123" s="363" t="str">
        <x:f>IF($A123="","",AA123/(1-AD123))</x:f>
      </x:c>
      <x:c r="AH123" s="363"/>
      <x:c r="AI123" s="363"/>
      <x:c r="AJ123" s="363" t="str">
        <x:f>IF($A123="","",IF(AI123&gt;0,IF(E123="Salla/Zid",AI123*(1-AB123)-AC123-Y123,IF(OR(E123="HungerStation",E123="ToYou",E123="The Chefz"),AI123*(1-AD123)-Y123,AI123-Y123)),""))</x:f>
      </x:c>
      <x:c r="AK123" s="388" t="str">
        <x:f>IF($A123="","",IF(Y123&gt;0,AJ123/Y123,""))</x:f>
      </x:c>
      <x:c r="AL123" s="364"/>
      <x:c r="AM123" s="365"/>
      <x:c r="AN123" s="389"/>
    </x:row>
    <x:row r="124">
      <x:c r="A124" s="361"/>
      <x:c r="B124" s="362"/>
      <x:c r="C124" s="362"/>
      <x:c r="D124" s="362"/>
      <x:c r="E124" s="362"/>
      <x:c r="F124" s="362"/>
      <x:c r="G124" s="362"/>
      <x:c r="H124" s="362"/>
      <x:c r="I124" s="363"/>
      <x:c r="J124" s="362"/>
      <x:c r="K124" s="362"/>
      <x:c r="L124" s="363"/>
      <x:c r="M124" s="362"/>
      <x:c r="N124" s="362"/>
      <x:c r="O124" s="363"/>
      <x:c r="P124" s="362"/>
      <x:c r="Q124" s="362"/>
      <x:c r="R124" s="363"/>
      <x:c r="S124" s="362"/>
      <x:c r="T124" s="362"/>
      <x:c r="U124" s="363"/>
      <x:c r="V124" s="363" t="str">
        <x:f>IF($A124="","",SUM(I124,L124,O124,R124,U124))</x:f>
      </x:c>
      <x:c r="W124" s="363" t="str">
        <x:f>IF($A124="","",'Pricing Rules'!$B$5)</x:f>
      </x:c>
      <x:c r="X124" s="363"/>
      <x:c r="Y124" s="363" t="str">
        <x:f>IF($A124="","",SUM(V124:X124))</x:f>
      </x:c>
      <x:c r="Z124" s="363" t="str">
        <x:f>IF($A124="","",Y124*'Pricing Rules'!$B$6)</x:f>
      </x:c>
      <x:c r="AA124" s="363" t="str">
        <x:f>IF($A124="","",Y124+Z124)</x:f>
      </x:c>
      <x:c r="AB124" s="388" t="str">
        <x:f>IF($A124="","",'Pricing Rules'!$B$7)</x:f>
      </x:c>
      <x:c r="AC124" s="363" t="str">
        <x:f>IF($A124="","",'Pricing Rules'!$B$8)</x:f>
      </x:c>
      <x:c r="AD124" s="388" t="str">
        <x:f>IF($A124="","",'Pricing Rules'!$B$9)</x:f>
      </x:c>
      <x:c r="AE124" s="363" t="str">
        <x:f>IF($A124="","",(AA124+AC124)/(1-AB124))</x:f>
      </x:c>
      <x:c r="AF124" s="363"/>
      <x:c r="AG124" s="363" t="str">
        <x:f>IF($A124="","",AA124/(1-AD124))</x:f>
      </x:c>
      <x:c r="AH124" s="363"/>
      <x:c r="AI124" s="363"/>
      <x:c r="AJ124" s="363" t="str">
        <x:f>IF($A124="","",IF(AI124&gt;0,IF(E124="Salla/Zid",AI124*(1-AB124)-AC124-Y124,IF(OR(E124="HungerStation",E124="ToYou",E124="The Chefz"),AI124*(1-AD124)-Y124,AI124-Y124)),""))</x:f>
      </x:c>
      <x:c r="AK124" s="388" t="str">
        <x:f>IF($A124="","",IF(Y124&gt;0,AJ124/Y124,""))</x:f>
      </x:c>
      <x:c r="AL124" s="364"/>
      <x:c r="AM124" s="365"/>
      <x:c r="AN124" s="389"/>
    </x:row>
    <x:row r="125">
      <x:c r="A125" s="361"/>
      <x:c r="B125" s="362"/>
      <x:c r="C125" s="362"/>
      <x:c r="D125" s="362"/>
      <x:c r="E125" s="362"/>
      <x:c r="F125" s="362"/>
      <x:c r="G125" s="362"/>
      <x:c r="H125" s="362"/>
      <x:c r="I125" s="363"/>
      <x:c r="J125" s="362"/>
      <x:c r="K125" s="362"/>
      <x:c r="L125" s="363"/>
      <x:c r="M125" s="362"/>
      <x:c r="N125" s="362"/>
      <x:c r="O125" s="363"/>
      <x:c r="P125" s="362"/>
      <x:c r="Q125" s="362"/>
      <x:c r="R125" s="363"/>
      <x:c r="S125" s="362"/>
      <x:c r="T125" s="362"/>
      <x:c r="U125" s="363"/>
      <x:c r="V125" s="363" t="str">
        <x:f>IF($A125="","",SUM(I125,L125,O125,R125,U125))</x:f>
      </x:c>
      <x:c r="W125" s="363" t="str">
        <x:f>IF($A125="","",'Pricing Rules'!$B$5)</x:f>
      </x:c>
      <x:c r="X125" s="363"/>
      <x:c r="Y125" s="363" t="str">
        <x:f>IF($A125="","",SUM(V125:X125))</x:f>
      </x:c>
      <x:c r="Z125" s="363" t="str">
        <x:f>IF($A125="","",Y125*'Pricing Rules'!$B$6)</x:f>
      </x:c>
      <x:c r="AA125" s="363" t="str">
        <x:f>IF($A125="","",Y125+Z125)</x:f>
      </x:c>
      <x:c r="AB125" s="388" t="str">
        <x:f>IF($A125="","",'Pricing Rules'!$B$7)</x:f>
      </x:c>
      <x:c r="AC125" s="363" t="str">
        <x:f>IF($A125="","",'Pricing Rules'!$B$8)</x:f>
      </x:c>
      <x:c r="AD125" s="388" t="str">
        <x:f>IF($A125="","",'Pricing Rules'!$B$9)</x:f>
      </x:c>
      <x:c r="AE125" s="363" t="str">
        <x:f>IF($A125="","",(AA125+AC125)/(1-AB125))</x:f>
      </x:c>
      <x:c r="AF125" s="363"/>
      <x:c r="AG125" s="363" t="str">
        <x:f>IF($A125="","",AA125/(1-AD125))</x:f>
      </x:c>
      <x:c r="AH125" s="363"/>
      <x:c r="AI125" s="363"/>
      <x:c r="AJ125" s="363" t="str">
        <x:f>IF($A125="","",IF(AI125&gt;0,IF(E125="Salla/Zid",AI125*(1-AB125)-AC125-Y125,IF(OR(E125="HungerStation",E125="ToYou",E125="The Chefz"),AI125*(1-AD125)-Y125,AI125-Y125)),""))</x:f>
      </x:c>
      <x:c r="AK125" s="388" t="str">
        <x:f>IF($A125="","",IF(Y125&gt;0,AJ125/Y125,""))</x:f>
      </x:c>
      <x:c r="AL125" s="364"/>
      <x:c r="AM125" s="365"/>
      <x:c r="AN125" s="389"/>
    </x:row>
    <x:row r="126">
      <x:c r="A126" s="361"/>
      <x:c r="B126" s="362"/>
      <x:c r="C126" s="362"/>
      <x:c r="D126" s="362"/>
      <x:c r="E126" s="362"/>
      <x:c r="F126" s="362"/>
      <x:c r="G126" s="362"/>
      <x:c r="H126" s="362"/>
      <x:c r="I126" s="363"/>
      <x:c r="J126" s="362"/>
      <x:c r="K126" s="362"/>
      <x:c r="L126" s="363"/>
      <x:c r="M126" s="362"/>
      <x:c r="N126" s="362"/>
      <x:c r="O126" s="363"/>
      <x:c r="P126" s="362"/>
      <x:c r="Q126" s="362"/>
      <x:c r="R126" s="363"/>
      <x:c r="S126" s="362"/>
      <x:c r="T126" s="362"/>
      <x:c r="U126" s="363"/>
      <x:c r="V126" s="363" t="str">
        <x:f>IF($A126="","",SUM(I126,L126,O126,R126,U126))</x:f>
      </x:c>
      <x:c r="W126" s="363" t="str">
        <x:f>IF($A126="","",'Pricing Rules'!$B$5)</x:f>
      </x:c>
      <x:c r="X126" s="363"/>
      <x:c r="Y126" s="363" t="str">
        <x:f>IF($A126="","",SUM(V126:X126))</x:f>
      </x:c>
      <x:c r="Z126" s="363" t="str">
        <x:f>IF($A126="","",Y126*'Pricing Rules'!$B$6)</x:f>
      </x:c>
      <x:c r="AA126" s="363" t="str">
        <x:f>IF($A126="","",Y126+Z126)</x:f>
      </x:c>
      <x:c r="AB126" s="388" t="str">
        <x:f>IF($A126="","",'Pricing Rules'!$B$7)</x:f>
      </x:c>
      <x:c r="AC126" s="363" t="str">
        <x:f>IF($A126="","",'Pricing Rules'!$B$8)</x:f>
      </x:c>
      <x:c r="AD126" s="388" t="str">
        <x:f>IF($A126="","",'Pricing Rules'!$B$9)</x:f>
      </x:c>
      <x:c r="AE126" s="363" t="str">
        <x:f>IF($A126="","",(AA126+AC126)/(1-AB126))</x:f>
      </x:c>
      <x:c r="AF126" s="363"/>
      <x:c r="AG126" s="363" t="str">
        <x:f>IF($A126="","",AA126/(1-AD126))</x:f>
      </x:c>
      <x:c r="AH126" s="363"/>
      <x:c r="AI126" s="363"/>
      <x:c r="AJ126" s="363" t="str">
        <x:f>IF($A126="","",IF(AI126&gt;0,IF(E126="Salla/Zid",AI126*(1-AB126)-AC126-Y126,IF(OR(E126="HungerStation",E126="ToYou",E126="The Chefz"),AI126*(1-AD126)-Y126,AI126-Y126)),""))</x:f>
      </x:c>
      <x:c r="AK126" s="388" t="str">
        <x:f>IF($A126="","",IF(Y126&gt;0,AJ126/Y126,""))</x:f>
      </x:c>
      <x:c r="AL126" s="364"/>
      <x:c r="AM126" s="365"/>
      <x:c r="AN126" s="389"/>
    </x:row>
    <x:row r="127">
      <x:c r="A127" s="361"/>
      <x:c r="B127" s="362"/>
      <x:c r="C127" s="362"/>
      <x:c r="D127" s="362"/>
      <x:c r="E127" s="362"/>
      <x:c r="F127" s="362"/>
      <x:c r="G127" s="362"/>
      <x:c r="H127" s="362"/>
      <x:c r="I127" s="363"/>
      <x:c r="J127" s="362"/>
      <x:c r="K127" s="362"/>
      <x:c r="L127" s="363"/>
      <x:c r="M127" s="362"/>
      <x:c r="N127" s="362"/>
      <x:c r="O127" s="363"/>
      <x:c r="P127" s="362"/>
      <x:c r="Q127" s="362"/>
      <x:c r="R127" s="363"/>
      <x:c r="S127" s="362"/>
      <x:c r="T127" s="362"/>
      <x:c r="U127" s="363"/>
      <x:c r="V127" s="363" t="str">
        <x:f>IF($A127="","",SUM(I127,L127,O127,R127,U127))</x:f>
      </x:c>
      <x:c r="W127" s="363" t="str">
        <x:f>IF($A127="","",'Pricing Rules'!$B$5)</x:f>
      </x:c>
      <x:c r="X127" s="363"/>
      <x:c r="Y127" s="363" t="str">
        <x:f>IF($A127="","",SUM(V127:X127))</x:f>
      </x:c>
      <x:c r="Z127" s="363" t="str">
        <x:f>IF($A127="","",Y127*'Pricing Rules'!$B$6)</x:f>
      </x:c>
      <x:c r="AA127" s="363" t="str">
        <x:f>IF($A127="","",Y127+Z127)</x:f>
      </x:c>
      <x:c r="AB127" s="388" t="str">
        <x:f>IF($A127="","",'Pricing Rules'!$B$7)</x:f>
      </x:c>
      <x:c r="AC127" s="363" t="str">
        <x:f>IF($A127="","",'Pricing Rules'!$B$8)</x:f>
      </x:c>
      <x:c r="AD127" s="388" t="str">
        <x:f>IF($A127="","",'Pricing Rules'!$B$9)</x:f>
      </x:c>
      <x:c r="AE127" s="363" t="str">
        <x:f>IF($A127="","",(AA127+AC127)/(1-AB127))</x:f>
      </x:c>
      <x:c r="AF127" s="363"/>
      <x:c r="AG127" s="363" t="str">
        <x:f>IF($A127="","",AA127/(1-AD127))</x:f>
      </x:c>
      <x:c r="AH127" s="363"/>
      <x:c r="AI127" s="363"/>
      <x:c r="AJ127" s="363" t="str">
        <x:f>IF($A127="","",IF(AI127&gt;0,IF(E127="Salla/Zid",AI127*(1-AB127)-AC127-Y127,IF(OR(E127="HungerStation",E127="ToYou",E127="The Chefz"),AI127*(1-AD127)-Y127,AI127-Y127)),""))</x:f>
      </x:c>
      <x:c r="AK127" s="388" t="str">
        <x:f>IF($A127="","",IF(Y127&gt;0,AJ127/Y127,""))</x:f>
      </x:c>
      <x:c r="AL127" s="364"/>
      <x:c r="AM127" s="365"/>
      <x:c r="AN127" s="389"/>
    </x:row>
    <x:row r="128">
      <x:c r="A128" s="361"/>
      <x:c r="B128" s="362"/>
      <x:c r="C128" s="362"/>
      <x:c r="D128" s="362"/>
      <x:c r="E128" s="362"/>
      <x:c r="F128" s="362"/>
      <x:c r="G128" s="362"/>
      <x:c r="H128" s="362"/>
      <x:c r="I128" s="363"/>
      <x:c r="J128" s="362"/>
      <x:c r="K128" s="362"/>
      <x:c r="L128" s="363"/>
      <x:c r="M128" s="362"/>
      <x:c r="N128" s="362"/>
      <x:c r="O128" s="363"/>
      <x:c r="P128" s="362"/>
      <x:c r="Q128" s="362"/>
      <x:c r="R128" s="363"/>
      <x:c r="S128" s="362"/>
      <x:c r="T128" s="362"/>
      <x:c r="U128" s="363"/>
      <x:c r="V128" s="363" t="str">
        <x:f>IF($A128="","",SUM(I128,L128,O128,R128,U128))</x:f>
      </x:c>
      <x:c r="W128" s="363" t="str">
        <x:f>IF($A128="","",'Pricing Rules'!$B$5)</x:f>
      </x:c>
      <x:c r="X128" s="363"/>
      <x:c r="Y128" s="363" t="str">
        <x:f>IF($A128="","",SUM(V128:X128))</x:f>
      </x:c>
      <x:c r="Z128" s="363" t="str">
        <x:f>IF($A128="","",Y128*'Pricing Rules'!$B$6)</x:f>
      </x:c>
      <x:c r="AA128" s="363" t="str">
        <x:f>IF($A128="","",Y128+Z128)</x:f>
      </x:c>
      <x:c r="AB128" s="388" t="str">
        <x:f>IF($A128="","",'Pricing Rules'!$B$7)</x:f>
      </x:c>
      <x:c r="AC128" s="363" t="str">
        <x:f>IF($A128="","",'Pricing Rules'!$B$8)</x:f>
      </x:c>
      <x:c r="AD128" s="388" t="str">
        <x:f>IF($A128="","",'Pricing Rules'!$B$9)</x:f>
      </x:c>
      <x:c r="AE128" s="363" t="str">
        <x:f>IF($A128="","",(AA128+AC128)/(1-AB128))</x:f>
      </x:c>
      <x:c r="AF128" s="363"/>
      <x:c r="AG128" s="363" t="str">
        <x:f>IF($A128="","",AA128/(1-AD128))</x:f>
      </x:c>
      <x:c r="AH128" s="363"/>
      <x:c r="AI128" s="363"/>
      <x:c r="AJ128" s="363" t="str">
        <x:f>IF($A128="","",IF(AI128&gt;0,IF(E128="Salla/Zid",AI128*(1-AB128)-AC128-Y128,IF(OR(E128="HungerStation",E128="ToYou",E128="The Chefz"),AI128*(1-AD128)-Y128,AI128-Y128)),""))</x:f>
      </x:c>
      <x:c r="AK128" s="388" t="str">
        <x:f>IF($A128="","",IF(Y128&gt;0,AJ128/Y128,""))</x:f>
      </x:c>
      <x:c r="AL128" s="364"/>
      <x:c r="AM128" s="365"/>
      <x:c r="AN128" s="389"/>
    </x:row>
    <x:row r="129">
      <x:c r="A129" s="361"/>
      <x:c r="B129" s="362"/>
      <x:c r="C129" s="362"/>
      <x:c r="D129" s="362"/>
      <x:c r="E129" s="362"/>
      <x:c r="F129" s="362"/>
      <x:c r="G129" s="362"/>
      <x:c r="H129" s="362"/>
      <x:c r="I129" s="363"/>
      <x:c r="J129" s="362"/>
      <x:c r="K129" s="362"/>
      <x:c r="L129" s="363"/>
      <x:c r="M129" s="362"/>
      <x:c r="N129" s="362"/>
      <x:c r="O129" s="363"/>
      <x:c r="P129" s="362"/>
      <x:c r="Q129" s="362"/>
      <x:c r="R129" s="363"/>
      <x:c r="S129" s="362"/>
      <x:c r="T129" s="362"/>
      <x:c r="U129" s="363"/>
      <x:c r="V129" s="363" t="str">
        <x:f>IF($A129="","",SUM(I129,L129,O129,R129,U129))</x:f>
      </x:c>
      <x:c r="W129" s="363" t="str">
        <x:f>IF($A129="","",'Pricing Rules'!$B$5)</x:f>
      </x:c>
      <x:c r="X129" s="363"/>
      <x:c r="Y129" s="363" t="str">
        <x:f>IF($A129="","",SUM(V129:X129))</x:f>
      </x:c>
      <x:c r="Z129" s="363" t="str">
        <x:f>IF($A129="","",Y129*'Pricing Rules'!$B$6)</x:f>
      </x:c>
      <x:c r="AA129" s="363" t="str">
        <x:f>IF($A129="","",Y129+Z129)</x:f>
      </x:c>
      <x:c r="AB129" s="388" t="str">
        <x:f>IF($A129="","",'Pricing Rules'!$B$7)</x:f>
      </x:c>
      <x:c r="AC129" s="363" t="str">
        <x:f>IF($A129="","",'Pricing Rules'!$B$8)</x:f>
      </x:c>
      <x:c r="AD129" s="388" t="str">
        <x:f>IF($A129="","",'Pricing Rules'!$B$9)</x:f>
      </x:c>
      <x:c r="AE129" s="363" t="str">
        <x:f>IF($A129="","",(AA129+AC129)/(1-AB129))</x:f>
      </x:c>
      <x:c r="AF129" s="363"/>
      <x:c r="AG129" s="363" t="str">
        <x:f>IF($A129="","",AA129/(1-AD129))</x:f>
      </x:c>
      <x:c r="AH129" s="363"/>
      <x:c r="AI129" s="363"/>
      <x:c r="AJ129" s="363" t="str">
        <x:f>IF($A129="","",IF(AI129&gt;0,IF(E129="Salla/Zid",AI129*(1-AB129)-AC129-Y129,IF(OR(E129="HungerStation",E129="ToYou",E129="The Chefz"),AI129*(1-AD129)-Y129,AI129-Y129)),""))</x:f>
      </x:c>
      <x:c r="AK129" s="388" t="str">
        <x:f>IF($A129="","",IF(Y129&gt;0,AJ129/Y129,""))</x:f>
      </x:c>
      <x:c r="AL129" s="364"/>
      <x:c r="AM129" s="365"/>
      <x:c r="AN129" s="389"/>
    </x:row>
    <x:row r="130">
      <x:c r="A130" s="361"/>
      <x:c r="B130" s="362"/>
      <x:c r="C130" s="362"/>
      <x:c r="D130" s="362"/>
      <x:c r="E130" s="362"/>
      <x:c r="F130" s="362"/>
      <x:c r="G130" s="362"/>
      <x:c r="H130" s="362"/>
      <x:c r="I130" s="363"/>
      <x:c r="J130" s="362"/>
      <x:c r="K130" s="362"/>
      <x:c r="L130" s="363"/>
      <x:c r="M130" s="362"/>
      <x:c r="N130" s="362"/>
      <x:c r="O130" s="363"/>
      <x:c r="P130" s="362"/>
      <x:c r="Q130" s="362"/>
      <x:c r="R130" s="363"/>
      <x:c r="S130" s="362"/>
      <x:c r="T130" s="362"/>
      <x:c r="U130" s="363"/>
      <x:c r="V130" s="363" t="str">
        <x:f>IF($A130="","",SUM(I130,L130,O130,R130,U130))</x:f>
      </x:c>
      <x:c r="W130" s="363" t="str">
        <x:f>IF($A130="","",'Pricing Rules'!$B$5)</x:f>
      </x:c>
      <x:c r="X130" s="363"/>
      <x:c r="Y130" s="363" t="str">
        <x:f>IF($A130="","",SUM(V130:X130))</x:f>
      </x:c>
      <x:c r="Z130" s="363" t="str">
        <x:f>IF($A130="","",Y130*'Pricing Rules'!$B$6)</x:f>
      </x:c>
      <x:c r="AA130" s="363" t="str">
        <x:f>IF($A130="","",Y130+Z130)</x:f>
      </x:c>
      <x:c r="AB130" s="388" t="str">
        <x:f>IF($A130="","",'Pricing Rules'!$B$7)</x:f>
      </x:c>
      <x:c r="AC130" s="363" t="str">
        <x:f>IF($A130="","",'Pricing Rules'!$B$8)</x:f>
      </x:c>
      <x:c r="AD130" s="388" t="str">
        <x:f>IF($A130="","",'Pricing Rules'!$B$9)</x:f>
      </x:c>
      <x:c r="AE130" s="363" t="str">
        <x:f>IF($A130="","",(AA130+AC130)/(1-AB130))</x:f>
      </x:c>
      <x:c r="AF130" s="363"/>
      <x:c r="AG130" s="363" t="str">
        <x:f>IF($A130="","",AA130/(1-AD130))</x:f>
      </x:c>
      <x:c r="AH130" s="363"/>
      <x:c r="AI130" s="363"/>
      <x:c r="AJ130" s="363" t="str">
        <x:f>IF($A130="","",IF(AI130&gt;0,IF(E130="Salla/Zid",AI130*(1-AB130)-AC130-Y130,IF(OR(E130="HungerStation",E130="ToYou",E130="The Chefz"),AI130*(1-AD130)-Y130,AI130-Y130)),""))</x:f>
      </x:c>
      <x:c r="AK130" s="388" t="str">
        <x:f>IF($A130="","",IF(Y130&gt;0,AJ130/Y130,""))</x:f>
      </x:c>
      <x:c r="AL130" s="364"/>
      <x:c r="AM130" s="365"/>
      <x:c r="AN130" s="389"/>
    </x:row>
    <x:row r="131">
      <x:c r="A131" s="361"/>
      <x:c r="B131" s="362"/>
      <x:c r="C131" s="362"/>
      <x:c r="D131" s="362"/>
      <x:c r="E131" s="362"/>
      <x:c r="F131" s="362"/>
      <x:c r="G131" s="362"/>
      <x:c r="H131" s="362"/>
      <x:c r="I131" s="363"/>
      <x:c r="J131" s="362"/>
      <x:c r="K131" s="362"/>
      <x:c r="L131" s="363"/>
      <x:c r="M131" s="362"/>
      <x:c r="N131" s="362"/>
      <x:c r="O131" s="363"/>
      <x:c r="P131" s="362"/>
      <x:c r="Q131" s="362"/>
      <x:c r="R131" s="363"/>
      <x:c r="S131" s="362"/>
      <x:c r="T131" s="362"/>
      <x:c r="U131" s="363"/>
      <x:c r="V131" s="363" t="str">
        <x:f>IF($A131="","",SUM(I131,L131,O131,R131,U131))</x:f>
      </x:c>
      <x:c r="W131" s="363" t="str">
        <x:f>IF($A131="","",'Pricing Rules'!$B$5)</x:f>
      </x:c>
      <x:c r="X131" s="363"/>
      <x:c r="Y131" s="363" t="str">
        <x:f>IF($A131="","",SUM(V131:X131))</x:f>
      </x:c>
      <x:c r="Z131" s="363" t="str">
        <x:f>IF($A131="","",Y131*'Pricing Rules'!$B$6)</x:f>
      </x:c>
      <x:c r="AA131" s="363" t="str">
        <x:f>IF($A131="","",Y131+Z131)</x:f>
      </x:c>
      <x:c r="AB131" s="388" t="str">
        <x:f>IF($A131="","",'Pricing Rules'!$B$7)</x:f>
      </x:c>
      <x:c r="AC131" s="363" t="str">
        <x:f>IF($A131="","",'Pricing Rules'!$B$8)</x:f>
      </x:c>
      <x:c r="AD131" s="388" t="str">
        <x:f>IF($A131="","",'Pricing Rules'!$B$9)</x:f>
      </x:c>
      <x:c r="AE131" s="363" t="str">
        <x:f>IF($A131="","",(AA131+AC131)/(1-AB131))</x:f>
      </x:c>
      <x:c r="AF131" s="363"/>
      <x:c r="AG131" s="363" t="str">
        <x:f>IF($A131="","",AA131/(1-AD131))</x:f>
      </x:c>
      <x:c r="AH131" s="363"/>
      <x:c r="AI131" s="363"/>
      <x:c r="AJ131" s="363" t="str">
        <x:f>IF($A131="","",IF(AI131&gt;0,IF(E131="Salla/Zid",AI131*(1-AB131)-AC131-Y131,IF(OR(E131="HungerStation",E131="ToYou",E131="The Chefz"),AI131*(1-AD131)-Y131,AI131-Y131)),""))</x:f>
      </x:c>
      <x:c r="AK131" s="388" t="str">
        <x:f>IF($A131="","",IF(Y131&gt;0,AJ131/Y131,""))</x:f>
      </x:c>
      <x:c r="AL131" s="364"/>
      <x:c r="AM131" s="365"/>
      <x:c r="AN131" s="389"/>
    </x:row>
    <x:row r="132">
      <x:c r="A132" s="361"/>
      <x:c r="B132" s="362"/>
      <x:c r="C132" s="362"/>
      <x:c r="D132" s="362"/>
      <x:c r="E132" s="362"/>
      <x:c r="F132" s="362"/>
      <x:c r="G132" s="362"/>
      <x:c r="H132" s="362"/>
      <x:c r="I132" s="363"/>
      <x:c r="J132" s="362"/>
      <x:c r="K132" s="362"/>
      <x:c r="L132" s="363"/>
      <x:c r="M132" s="362"/>
      <x:c r="N132" s="362"/>
      <x:c r="O132" s="363"/>
      <x:c r="P132" s="362"/>
      <x:c r="Q132" s="362"/>
      <x:c r="R132" s="363"/>
      <x:c r="S132" s="362"/>
      <x:c r="T132" s="362"/>
      <x:c r="U132" s="363"/>
      <x:c r="V132" s="363" t="str">
        <x:f>IF($A132="","",SUM(I132,L132,O132,R132,U132))</x:f>
      </x:c>
      <x:c r="W132" s="363" t="str">
        <x:f>IF($A132="","",'Pricing Rules'!$B$5)</x:f>
      </x:c>
      <x:c r="X132" s="363"/>
      <x:c r="Y132" s="363" t="str">
        <x:f>IF($A132="","",SUM(V132:X132))</x:f>
      </x:c>
      <x:c r="Z132" s="363" t="str">
        <x:f>IF($A132="","",Y132*'Pricing Rules'!$B$6)</x:f>
      </x:c>
      <x:c r="AA132" s="363" t="str">
        <x:f>IF($A132="","",Y132+Z132)</x:f>
      </x:c>
      <x:c r="AB132" s="388" t="str">
        <x:f>IF($A132="","",'Pricing Rules'!$B$7)</x:f>
      </x:c>
      <x:c r="AC132" s="363" t="str">
        <x:f>IF($A132="","",'Pricing Rules'!$B$8)</x:f>
      </x:c>
      <x:c r="AD132" s="388" t="str">
        <x:f>IF($A132="","",'Pricing Rules'!$B$9)</x:f>
      </x:c>
      <x:c r="AE132" s="363" t="str">
        <x:f>IF($A132="","",(AA132+AC132)/(1-AB132))</x:f>
      </x:c>
      <x:c r="AF132" s="363"/>
      <x:c r="AG132" s="363" t="str">
        <x:f>IF($A132="","",AA132/(1-AD132))</x:f>
      </x:c>
      <x:c r="AH132" s="363"/>
      <x:c r="AI132" s="363"/>
      <x:c r="AJ132" s="363" t="str">
        <x:f>IF($A132="","",IF(AI132&gt;0,IF(E132="Salla/Zid",AI132*(1-AB132)-AC132-Y132,IF(OR(E132="HungerStation",E132="ToYou",E132="The Chefz"),AI132*(1-AD132)-Y132,AI132-Y132)),""))</x:f>
      </x:c>
      <x:c r="AK132" s="388" t="str">
        <x:f>IF($A132="","",IF(Y132&gt;0,AJ132/Y132,""))</x:f>
      </x:c>
      <x:c r="AL132" s="364"/>
      <x:c r="AM132" s="365"/>
      <x:c r="AN132" s="389"/>
    </x:row>
    <x:row r="133">
      <x:c r="A133" s="361"/>
      <x:c r="B133" s="362"/>
      <x:c r="C133" s="362"/>
      <x:c r="D133" s="362"/>
      <x:c r="E133" s="362"/>
      <x:c r="F133" s="362"/>
      <x:c r="G133" s="362"/>
      <x:c r="H133" s="362"/>
      <x:c r="I133" s="363"/>
      <x:c r="J133" s="362"/>
      <x:c r="K133" s="362"/>
      <x:c r="L133" s="363"/>
      <x:c r="M133" s="362"/>
      <x:c r="N133" s="362"/>
      <x:c r="O133" s="363"/>
      <x:c r="P133" s="362"/>
      <x:c r="Q133" s="362"/>
      <x:c r="R133" s="363"/>
      <x:c r="S133" s="362"/>
      <x:c r="T133" s="362"/>
      <x:c r="U133" s="363"/>
      <x:c r="V133" s="363" t="str">
        <x:f>IF($A133="","",SUM(I133,L133,O133,R133,U133))</x:f>
      </x:c>
      <x:c r="W133" s="363" t="str">
        <x:f>IF($A133="","",'Pricing Rules'!$B$5)</x:f>
      </x:c>
      <x:c r="X133" s="363"/>
      <x:c r="Y133" s="363" t="str">
        <x:f>IF($A133="","",SUM(V133:X133))</x:f>
      </x:c>
      <x:c r="Z133" s="363" t="str">
        <x:f>IF($A133="","",Y133*'Pricing Rules'!$B$6)</x:f>
      </x:c>
      <x:c r="AA133" s="363" t="str">
        <x:f>IF($A133="","",Y133+Z133)</x:f>
      </x:c>
      <x:c r="AB133" s="388" t="str">
        <x:f>IF($A133="","",'Pricing Rules'!$B$7)</x:f>
      </x:c>
      <x:c r="AC133" s="363" t="str">
        <x:f>IF($A133="","",'Pricing Rules'!$B$8)</x:f>
      </x:c>
      <x:c r="AD133" s="388" t="str">
        <x:f>IF($A133="","",'Pricing Rules'!$B$9)</x:f>
      </x:c>
      <x:c r="AE133" s="363" t="str">
        <x:f>IF($A133="","",(AA133+AC133)/(1-AB133))</x:f>
      </x:c>
      <x:c r="AF133" s="363"/>
      <x:c r="AG133" s="363" t="str">
        <x:f>IF($A133="","",AA133/(1-AD133))</x:f>
      </x:c>
      <x:c r="AH133" s="363"/>
      <x:c r="AI133" s="363"/>
      <x:c r="AJ133" s="363" t="str">
        <x:f>IF($A133="","",IF(AI133&gt;0,IF(E133="Salla/Zid",AI133*(1-AB133)-AC133-Y133,IF(OR(E133="HungerStation",E133="ToYou",E133="The Chefz"),AI133*(1-AD133)-Y133,AI133-Y133)),""))</x:f>
      </x:c>
      <x:c r="AK133" s="388" t="str">
        <x:f>IF($A133="","",IF(Y133&gt;0,AJ133/Y133,""))</x:f>
      </x:c>
      <x:c r="AL133" s="364"/>
      <x:c r="AM133" s="365"/>
      <x:c r="AN133" s="389"/>
    </x:row>
    <x:row r="134">
      <x:c r="A134" s="361"/>
      <x:c r="B134" s="362"/>
      <x:c r="C134" s="362"/>
      <x:c r="D134" s="362"/>
      <x:c r="E134" s="362"/>
      <x:c r="F134" s="362"/>
      <x:c r="G134" s="362"/>
      <x:c r="H134" s="362"/>
      <x:c r="I134" s="363"/>
      <x:c r="J134" s="362"/>
      <x:c r="K134" s="362"/>
      <x:c r="L134" s="363"/>
      <x:c r="M134" s="362"/>
      <x:c r="N134" s="362"/>
      <x:c r="O134" s="363"/>
      <x:c r="P134" s="362"/>
      <x:c r="Q134" s="362"/>
      <x:c r="R134" s="363"/>
      <x:c r="S134" s="362"/>
      <x:c r="T134" s="362"/>
      <x:c r="U134" s="363"/>
      <x:c r="V134" s="363" t="str">
        <x:f>IF($A134="","",SUM(I134,L134,O134,R134,U134))</x:f>
      </x:c>
      <x:c r="W134" s="363" t="str">
        <x:f>IF($A134="","",'Pricing Rules'!$B$5)</x:f>
      </x:c>
      <x:c r="X134" s="363"/>
      <x:c r="Y134" s="363" t="str">
        <x:f>IF($A134="","",SUM(V134:X134))</x:f>
      </x:c>
      <x:c r="Z134" s="363" t="str">
        <x:f>IF($A134="","",Y134*'Pricing Rules'!$B$6)</x:f>
      </x:c>
      <x:c r="AA134" s="363" t="str">
        <x:f>IF($A134="","",Y134+Z134)</x:f>
      </x:c>
      <x:c r="AB134" s="388" t="str">
        <x:f>IF($A134="","",'Pricing Rules'!$B$7)</x:f>
      </x:c>
      <x:c r="AC134" s="363" t="str">
        <x:f>IF($A134="","",'Pricing Rules'!$B$8)</x:f>
      </x:c>
      <x:c r="AD134" s="388" t="str">
        <x:f>IF($A134="","",'Pricing Rules'!$B$9)</x:f>
      </x:c>
      <x:c r="AE134" s="363" t="str">
        <x:f>IF($A134="","",(AA134+AC134)/(1-AB134))</x:f>
      </x:c>
      <x:c r="AF134" s="363"/>
      <x:c r="AG134" s="363" t="str">
        <x:f>IF($A134="","",AA134/(1-AD134))</x:f>
      </x:c>
      <x:c r="AH134" s="363"/>
      <x:c r="AI134" s="363"/>
      <x:c r="AJ134" s="363" t="str">
        <x:f>IF($A134="","",IF(AI134&gt;0,IF(E134="Salla/Zid",AI134*(1-AB134)-AC134-Y134,IF(OR(E134="HungerStation",E134="ToYou",E134="The Chefz"),AI134*(1-AD134)-Y134,AI134-Y134)),""))</x:f>
      </x:c>
      <x:c r="AK134" s="388" t="str">
        <x:f>IF($A134="","",IF(Y134&gt;0,AJ134/Y134,""))</x:f>
      </x:c>
      <x:c r="AL134" s="364"/>
      <x:c r="AM134" s="365"/>
      <x:c r="AN134" s="389"/>
    </x:row>
    <x:row r="135">
      <x:c r="A135" s="361"/>
      <x:c r="B135" s="362"/>
      <x:c r="C135" s="362"/>
      <x:c r="D135" s="362"/>
      <x:c r="E135" s="362"/>
      <x:c r="F135" s="362"/>
      <x:c r="G135" s="362"/>
      <x:c r="H135" s="362"/>
      <x:c r="I135" s="363"/>
      <x:c r="J135" s="362"/>
      <x:c r="K135" s="362"/>
      <x:c r="L135" s="363"/>
      <x:c r="M135" s="362"/>
      <x:c r="N135" s="362"/>
      <x:c r="O135" s="363"/>
      <x:c r="P135" s="362"/>
      <x:c r="Q135" s="362"/>
      <x:c r="R135" s="363"/>
      <x:c r="S135" s="362"/>
      <x:c r="T135" s="362"/>
      <x:c r="U135" s="363"/>
      <x:c r="V135" s="363" t="str">
        <x:f>IF($A135="","",SUM(I135,L135,O135,R135,U135))</x:f>
      </x:c>
      <x:c r="W135" s="363" t="str">
        <x:f>IF($A135="","",'Pricing Rules'!$B$5)</x:f>
      </x:c>
      <x:c r="X135" s="363"/>
      <x:c r="Y135" s="363" t="str">
        <x:f>IF($A135="","",SUM(V135:X135))</x:f>
      </x:c>
      <x:c r="Z135" s="363" t="str">
        <x:f>IF($A135="","",Y135*'Pricing Rules'!$B$6)</x:f>
      </x:c>
      <x:c r="AA135" s="363" t="str">
        <x:f>IF($A135="","",Y135+Z135)</x:f>
      </x:c>
      <x:c r="AB135" s="388" t="str">
        <x:f>IF($A135="","",'Pricing Rules'!$B$7)</x:f>
      </x:c>
      <x:c r="AC135" s="363" t="str">
        <x:f>IF($A135="","",'Pricing Rules'!$B$8)</x:f>
      </x:c>
      <x:c r="AD135" s="388" t="str">
        <x:f>IF($A135="","",'Pricing Rules'!$B$9)</x:f>
      </x:c>
      <x:c r="AE135" s="363" t="str">
        <x:f>IF($A135="","",(AA135+AC135)/(1-AB135))</x:f>
      </x:c>
      <x:c r="AF135" s="363"/>
      <x:c r="AG135" s="363" t="str">
        <x:f>IF($A135="","",AA135/(1-AD135))</x:f>
      </x:c>
      <x:c r="AH135" s="363"/>
      <x:c r="AI135" s="363"/>
      <x:c r="AJ135" s="363" t="str">
        <x:f>IF($A135="","",IF(AI135&gt;0,IF(E135="Salla/Zid",AI135*(1-AB135)-AC135-Y135,IF(OR(E135="HungerStation",E135="ToYou",E135="The Chefz"),AI135*(1-AD135)-Y135,AI135-Y135)),""))</x:f>
      </x:c>
      <x:c r="AK135" s="388" t="str">
        <x:f>IF($A135="","",IF(Y135&gt;0,AJ135/Y135,""))</x:f>
      </x:c>
      <x:c r="AL135" s="364"/>
      <x:c r="AM135" s="365"/>
      <x:c r="AN135" s="389"/>
    </x:row>
    <x:row r="136">
      <x:c r="A136" s="361"/>
      <x:c r="B136" s="362"/>
      <x:c r="C136" s="362"/>
      <x:c r="D136" s="362"/>
      <x:c r="E136" s="362"/>
      <x:c r="F136" s="362"/>
      <x:c r="G136" s="362"/>
      <x:c r="H136" s="362"/>
      <x:c r="I136" s="363"/>
      <x:c r="J136" s="362"/>
      <x:c r="K136" s="362"/>
      <x:c r="L136" s="363"/>
      <x:c r="M136" s="362"/>
      <x:c r="N136" s="362"/>
      <x:c r="O136" s="363"/>
      <x:c r="P136" s="362"/>
      <x:c r="Q136" s="362"/>
      <x:c r="R136" s="363"/>
      <x:c r="S136" s="362"/>
      <x:c r="T136" s="362"/>
      <x:c r="U136" s="363"/>
      <x:c r="V136" s="363" t="str">
        <x:f>IF($A136="","",SUM(I136,L136,O136,R136,U136))</x:f>
      </x:c>
      <x:c r="W136" s="363" t="str">
        <x:f>IF($A136="","",'Pricing Rules'!$B$5)</x:f>
      </x:c>
      <x:c r="X136" s="363"/>
      <x:c r="Y136" s="363" t="str">
        <x:f>IF($A136="","",SUM(V136:X136))</x:f>
      </x:c>
      <x:c r="Z136" s="363" t="str">
        <x:f>IF($A136="","",Y136*'Pricing Rules'!$B$6)</x:f>
      </x:c>
      <x:c r="AA136" s="363" t="str">
        <x:f>IF($A136="","",Y136+Z136)</x:f>
      </x:c>
      <x:c r="AB136" s="388" t="str">
        <x:f>IF($A136="","",'Pricing Rules'!$B$7)</x:f>
      </x:c>
      <x:c r="AC136" s="363" t="str">
        <x:f>IF($A136="","",'Pricing Rules'!$B$8)</x:f>
      </x:c>
      <x:c r="AD136" s="388" t="str">
        <x:f>IF($A136="","",'Pricing Rules'!$B$9)</x:f>
      </x:c>
      <x:c r="AE136" s="363" t="str">
        <x:f>IF($A136="","",(AA136+AC136)/(1-AB136))</x:f>
      </x:c>
      <x:c r="AF136" s="363"/>
      <x:c r="AG136" s="363" t="str">
        <x:f>IF($A136="","",AA136/(1-AD136))</x:f>
      </x:c>
      <x:c r="AH136" s="363"/>
      <x:c r="AI136" s="363"/>
      <x:c r="AJ136" s="363" t="str">
        <x:f>IF($A136="","",IF(AI136&gt;0,IF(E136="Salla/Zid",AI136*(1-AB136)-AC136-Y136,IF(OR(E136="HungerStation",E136="ToYou",E136="The Chefz"),AI136*(1-AD136)-Y136,AI136-Y136)),""))</x:f>
      </x:c>
      <x:c r="AK136" s="388" t="str">
        <x:f>IF($A136="","",IF(Y136&gt;0,AJ136/Y136,""))</x:f>
      </x:c>
      <x:c r="AL136" s="364"/>
      <x:c r="AM136" s="365"/>
      <x:c r="AN136" s="389"/>
    </x:row>
    <x:row r="137">
      <x:c r="A137" s="361"/>
      <x:c r="B137" s="362"/>
      <x:c r="C137" s="362"/>
      <x:c r="D137" s="362"/>
      <x:c r="E137" s="362"/>
      <x:c r="F137" s="362"/>
      <x:c r="G137" s="362"/>
      <x:c r="H137" s="362"/>
      <x:c r="I137" s="363"/>
      <x:c r="J137" s="362"/>
      <x:c r="K137" s="362"/>
      <x:c r="L137" s="363"/>
      <x:c r="M137" s="362"/>
      <x:c r="N137" s="362"/>
      <x:c r="O137" s="363"/>
      <x:c r="P137" s="362"/>
      <x:c r="Q137" s="362"/>
      <x:c r="R137" s="363"/>
      <x:c r="S137" s="362"/>
      <x:c r="T137" s="362"/>
      <x:c r="U137" s="363"/>
      <x:c r="V137" s="363" t="str">
        <x:f>IF($A137="","",SUM(I137,L137,O137,R137,U137))</x:f>
      </x:c>
      <x:c r="W137" s="363" t="str">
        <x:f>IF($A137="","",'Pricing Rules'!$B$5)</x:f>
      </x:c>
      <x:c r="X137" s="363"/>
      <x:c r="Y137" s="363" t="str">
        <x:f>IF($A137="","",SUM(V137:X137))</x:f>
      </x:c>
      <x:c r="Z137" s="363" t="str">
        <x:f>IF($A137="","",Y137*'Pricing Rules'!$B$6)</x:f>
      </x:c>
      <x:c r="AA137" s="363" t="str">
        <x:f>IF($A137="","",Y137+Z137)</x:f>
      </x:c>
      <x:c r="AB137" s="388" t="str">
        <x:f>IF($A137="","",'Pricing Rules'!$B$7)</x:f>
      </x:c>
      <x:c r="AC137" s="363" t="str">
        <x:f>IF($A137="","",'Pricing Rules'!$B$8)</x:f>
      </x:c>
      <x:c r="AD137" s="388" t="str">
        <x:f>IF($A137="","",'Pricing Rules'!$B$9)</x:f>
      </x:c>
      <x:c r="AE137" s="363" t="str">
        <x:f>IF($A137="","",(AA137+AC137)/(1-AB137))</x:f>
      </x:c>
      <x:c r="AF137" s="363"/>
      <x:c r="AG137" s="363" t="str">
        <x:f>IF($A137="","",AA137/(1-AD137))</x:f>
      </x:c>
      <x:c r="AH137" s="363"/>
      <x:c r="AI137" s="363"/>
      <x:c r="AJ137" s="363" t="str">
        <x:f>IF($A137="","",IF(AI137&gt;0,IF(E137="Salla/Zid",AI137*(1-AB137)-AC137-Y137,IF(OR(E137="HungerStation",E137="ToYou",E137="The Chefz"),AI137*(1-AD137)-Y137,AI137-Y137)),""))</x:f>
      </x:c>
      <x:c r="AK137" s="388" t="str">
        <x:f>IF($A137="","",IF(Y137&gt;0,AJ137/Y137,""))</x:f>
      </x:c>
      <x:c r="AL137" s="364"/>
      <x:c r="AM137" s="365"/>
      <x:c r="AN137" s="389"/>
    </x:row>
    <x:row r="138">
      <x:c r="A138" s="361"/>
      <x:c r="B138" s="362"/>
      <x:c r="C138" s="362"/>
      <x:c r="D138" s="362"/>
      <x:c r="E138" s="362"/>
      <x:c r="F138" s="362"/>
      <x:c r="G138" s="362"/>
      <x:c r="H138" s="362"/>
      <x:c r="I138" s="363"/>
      <x:c r="J138" s="362"/>
      <x:c r="K138" s="362"/>
      <x:c r="L138" s="363"/>
      <x:c r="M138" s="362"/>
      <x:c r="N138" s="362"/>
      <x:c r="O138" s="363"/>
      <x:c r="P138" s="362"/>
      <x:c r="Q138" s="362"/>
      <x:c r="R138" s="363"/>
      <x:c r="S138" s="362"/>
      <x:c r="T138" s="362"/>
      <x:c r="U138" s="363"/>
      <x:c r="V138" s="363" t="str">
        <x:f>IF($A138="","",SUM(I138,L138,O138,R138,U138))</x:f>
      </x:c>
      <x:c r="W138" s="363" t="str">
        <x:f>IF($A138="","",'Pricing Rules'!$B$5)</x:f>
      </x:c>
      <x:c r="X138" s="363"/>
      <x:c r="Y138" s="363" t="str">
        <x:f>IF($A138="","",SUM(V138:X138))</x:f>
      </x:c>
      <x:c r="Z138" s="363" t="str">
        <x:f>IF($A138="","",Y138*'Pricing Rules'!$B$6)</x:f>
      </x:c>
      <x:c r="AA138" s="363" t="str">
        <x:f>IF($A138="","",Y138+Z138)</x:f>
      </x:c>
      <x:c r="AB138" s="388" t="str">
        <x:f>IF($A138="","",'Pricing Rules'!$B$7)</x:f>
      </x:c>
      <x:c r="AC138" s="363" t="str">
        <x:f>IF($A138="","",'Pricing Rules'!$B$8)</x:f>
      </x:c>
      <x:c r="AD138" s="388" t="str">
        <x:f>IF($A138="","",'Pricing Rules'!$B$9)</x:f>
      </x:c>
      <x:c r="AE138" s="363" t="str">
        <x:f>IF($A138="","",(AA138+AC138)/(1-AB138))</x:f>
      </x:c>
      <x:c r="AF138" s="363"/>
      <x:c r="AG138" s="363" t="str">
        <x:f>IF($A138="","",AA138/(1-AD138))</x:f>
      </x:c>
      <x:c r="AH138" s="363"/>
      <x:c r="AI138" s="363"/>
      <x:c r="AJ138" s="363" t="str">
        <x:f>IF($A138="","",IF(AI138&gt;0,IF(E138="Salla/Zid",AI138*(1-AB138)-AC138-Y138,IF(OR(E138="HungerStation",E138="ToYou",E138="The Chefz"),AI138*(1-AD138)-Y138,AI138-Y138)),""))</x:f>
      </x:c>
      <x:c r="AK138" s="388" t="str">
        <x:f>IF($A138="","",IF(Y138&gt;0,AJ138/Y138,""))</x:f>
      </x:c>
      <x:c r="AL138" s="364"/>
      <x:c r="AM138" s="365"/>
      <x:c r="AN138" s="389"/>
    </x:row>
    <x:row r="139">
      <x:c r="A139" s="361"/>
      <x:c r="B139" s="362"/>
      <x:c r="C139" s="362"/>
      <x:c r="D139" s="362"/>
      <x:c r="E139" s="362"/>
      <x:c r="F139" s="362"/>
      <x:c r="G139" s="362"/>
      <x:c r="H139" s="362"/>
      <x:c r="I139" s="363"/>
      <x:c r="J139" s="362"/>
      <x:c r="K139" s="362"/>
      <x:c r="L139" s="363"/>
      <x:c r="M139" s="362"/>
      <x:c r="N139" s="362"/>
      <x:c r="O139" s="363"/>
      <x:c r="P139" s="362"/>
      <x:c r="Q139" s="362"/>
      <x:c r="R139" s="363"/>
      <x:c r="S139" s="362"/>
      <x:c r="T139" s="362"/>
      <x:c r="U139" s="363"/>
      <x:c r="V139" s="363" t="str">
        <x:f>IF($A139="","",SUM(I139,L139,O139,R139,U139))</x:f>
      </x:c>
      <x:c r="W139" s="363" t="str">
        <x:f>IF($A139="","",'Pricing Rules'!$B$5)</x:f>
      </x:c>
      <x:c r="X139" s="363"/>
      <x:c r="Y139" s="363" t="str">
        <x:f>IF($A139="","",SUM(V139:X139))</x:f>
      </x:c>
      <x:c r="Z139" s="363" t="str">
        <x:f>IF($A139="","",Y139*'Pricing Rules'!$B$6)</x:f>
      </x:c>
      <x:c r="AA139" s="363" t="str">
        <x:f>IF($A139="","",Y139+Z139)</x:f>
      </x:c>
      <x:c r="AB139" s="388" t="str">
        <x:f>IF($A139="","",'Pricing Rules'!$B$7)</x:f>
      </x:c>
      <x:c r="AC139" s="363" t="str">
        <x:f>IF($A139="","",'Pricing Rules'!$B$8)</x:f>
      </x:c>
      <x:c r="AD139" s="388" t="str">
        <x:f>IF($A139="","",'Pricing Rules'!$B$9)</x:f>
      </x:c>
      <x:c r="AE139" s="363" t="str">
        <x:f>IF($A139="","",(AA139+AC139)/(1-AB139))</x:f>
      </x:c>
      <x:c r="AF139" s="363"/>
      <x:c r="AG139" s="363" t="str">
        <x:f>IF($A139="","",AA139/(1-AD139))</x:f>
      </x:c>
      <x:c r="AH139" s="363"/>
      <x:c r="AI139" s="363"/>
      <x:c r="AJ139" s="363" t="str">
        <x:f>IF($A139="","",IF(AI139&gt;0,IF(E139="Salla/Zid",AI139*(1-AB139)-AC139-Y139,IF(OR(E139="HungerStation",E139="ToYou",E139="The Chefz"),AI139*(1-AD139)-Y139,AI139-Y139)),""))</x:f>
      </x:c>
      <x:c r="AK139" s="388" t="str">
        <x:f>IF($A139="","",IF(Y139&gt;0,AJ139/Y139,""))</x:f>
      </x:c>
      <x:c r="AL139" s="364"/>
      <x:c r="AM139" s="365"/>
      <x:c r="AN139" s="389"/>
    </x:row>
    <x:row r="140">
      <x:c r="A140" s="361"/>
      <x:c r="B140" s="362"/>
      <x:c r="C140" s="362"/>
      <x:c r="D140" s="362"/>
      <x:c r="E140" s="362"/>
      <x:c r="F140" s="362"/>
      <x:c r="G140" s="362"/>
      <x:c r="H140" s="362"/>
      <x:c r="I140" s="363"/>
      <x:c r="J140" s="362"/>
      <x:c r="K140" s="362"/>
      <x:c r="L140" s="363"/>
      <x:c r="M140" s="362"/>
      <x:c r="N140" s="362"/>
      <x:c r="O140" s="363"/>
      <x:c r="P140" s="362"/>
      <x:c r="Q140" s="362"/>
      <x:c r="R140" s="363"/>
      <x:c r="S140" s="362"/>
      <x:c r="T140" s="362"/>
      <x:c r="U140" s="363"/>
      <x:c r="V140" s="363" t="str">
        <x:f>IF($A140="","",SUM(I140,L140,O140,R140,U140))</x:f>
      </x:c>
      <x:c r="W140" s="363" t="str">
        <x:f>IF($A140="","",'Pricing Rules'!$B$5)</x:f>
      </x:c>
      <x:c r="X140" s="363"/>
      <x:c r="Y140" s="363" t="str">
        <x:f>IF($A140="","",SUM(V140:X140))</x:f>
      </x:c>
      <x:c r="Z140" s="363" t="str">
        <x:f>IF($A140="","",Y140*'Pricing Rules'!$B$6)</x:f>
      </x:c>
      <x:c r="AA140" s="363" t="str">
        <x:f>IF($A140="","",Y140+Z140)</x:f>
      </x:c>
      <x:c r="AB140" s="388" t="str">
        <x:f>IF($A140="","",'Pricing Rules'!$B$7)</x:f>
      </x:c>
      <x:c r="AC140" s="363" t="str">
        <x:f>IF($A140="","",'Pricing Rules'!$B$8)</x:f>
      </x:c>
      <x:c r="AD140" s="388" t="str">
        <x:f>IF($A140="","",'Pricing Rules'!$B$9)</x:f>
      </x:c>
      <x:c r="AE140" s="363" t="str">
        <x:f>IF($A140="","",(AA140+AC140)/(1-AB140))</x:f>
      </x:c>
      <x:c r="AF140" s="363"/>
      <x:c r="AG140" s="363" t="str">
        <x:f>IF($A140="","",AA140/(1-AD140))</x:f>
      </x:c>
      <x:c r="AH140" s="363"/>
      <x:c r="AI140" s="363"/>
      <x:c r="AJ140" s="363" t="str">
        <x:f>IF($A140="","",IF(AI140&gt;0,IF(E140="Salla/Zid",AI140*(1-AB140)-AC140-Y140,IF(OR(E140="HungerStation",E140="ToYou",E140="The Chefz"),AI140*(1-AD140)-Y140,AI140-Y140)),""))</x:f>
      </x:c>
      <x:c r="AK140" s="388" t="str">
        <x:f>IF($A140="","",IF(Y140&gt;0,AJ140/Y140,""))</x:f>
      </x:c>
      <x:c r="AL140" s="364"/>
      <x:c r="AM140" s="365"/>
      <x:c r="AN140" s="389"/>
    </x:row>
    <x:row r="141">
      <x:c r="A141" s="361"/>
      <x:c r="B141" s="362"/>
      <x:c r="C141" s="362"/>
      <x:c r="D141" s="362"/>
      <x:c r="E141" s="362"/>
      <x:c r="F141" s="362"/>
      <x:c r="G141" s="362"/>
      <x:c r="H141" s="362"/>
      <x:c r="I141" s="363"/>
      <x:c r="J141" s="362"/>
      <x:c r="K141" s="362"/>
      <x:c r="L141" s="363"/>
      <x:c r="M141" s="362"/>
      <x:c r="N141" s="362"/>
      <x:c r="O141" s="363"/>
      <x:c r="P141" s="362"/>
      <x:c r="Q141" s="362"/>
      <x:c r="R141" s="363"/>
      <x:c r="S141" s="362"/>
      <x:c r="T141" s="362"/>
      <x:c r="U141" s="363"/>
      <x:c r="V141" s="363" t="str">
        <x:f>IF($A141="","",SUM(I141,L141,O141,R141,U141))</x:f>
      </x:c>
      <x:c r="W141" s="363" t="str">
        <x:f>IF($A141="","",'Pricing Rules'!$B$5)</x:f>
      </x:c>
      <x:c r="X141" s="363"/>
      <x:c r="Y141" s="363" t="str">
        <x:f>IF($A141="","",SUM(V141:X141))</x:f>
      </x:c>
      <x:c r="Z141" s="363" t="str">
        <x:f>IF($A141="","",Y141*'Pricing Rules'!$B$6)</x:f>
      </x:c>
      <x:c r="AA141" s="363" t="str">
        <x:f>IF($A141="","",Y141+Z141)</x:f>
      </x:c>
      <x:c r="AB141" s="388" t="str">
        <x:f>IF($A141="","",'Pricing Rules'!$B$7)</x:f>
      </x:c>
      <x:c r="AC141" s="363" t="str">
        <x:f>IF($A141="","",'Pricing Rules'!$B$8)</x:f>
      </x:c>
      <x:c r="AD141" s="388" t="str">
        <x:f>IF($A141="","",'Pricing Rules'!$B$9)</x:f>
      </x:c>
      <x:c r="AE141" s="363" t="str">
        <x:f>IF($A141="","",(AA141+AC141)/(1-AB141))</x:f>
      </x:c>
      <x:c r="AF141" s="363"/>
      <x:c r="AG141" s="363" t="str">
        <x:f>IF($A141="","",AA141/(1-AD141))</x:f>
      </x:c>
      <x:c r="AH141" s="363"/>
      <x:c r="AI141" s="363"/>
      <x:c r="AJ141" s="363" t="str">
        <x:f>IF($A141="","",IF(AI141&gt;0,IF(E141="Salla/Zid",AI141*(1-AB141)-AC141-Y141,IF(OR(E141="HungerStation",E141="ToYou",E141="The Chefz"),AI141*(1-AD141)-Y141,AI141-Y141)),""))</x:f>
      </x:c>
      <x:c r="AK141" s="388" t="str">
        <x:f>IF($A141="","",IF(Y141&gt;0,AJ141/Y141,""))</x:f>
      </x:c>
      <x:c r="AL141" s="364"/>
      <x:c r="AM141" s="365"/>
      <x:c r="AN141" s="389"/>
    </x:row>
    <x:row r="142">
      <x:c r="A142" s="361"/>
      <x:c r="B142" s="362"/>
      <x:c r="C142" s="362"/>
      <x:c r="D142" s="362"/>
      <x:c r="E142" s="362"/>
      <x:c r="F142" s="362"/>
      <x:c r="G142" s="362"/>
      <x:c r="H142" s="362"/>
      <x:c r="I142" s="363"/>
      <x:c r="J142" s="362"/>
      <x:c r="K142" s="362"/>
      <x:c r="L142" s="363"/>
      <x:c r="M142" s="362"/>
      <x:c r="N142" s="362"/>
      <x:c r="O142" s="363"/>
      <x:c r="P142" s="362"/>
      <x:c r="Q142" s="362"/>
      <x:c r="R142" s="363"/>
      <x:c r="S142" s="362"/>
      <x:c r="T142" s="362"/>
      <x:c r="U142" s="363"/>
      <x:c r="V142" s="363" t="str">
        <x:f>IF($A142="","",SUM(I142,L142,O142,R142,U142))</x:f>
      </x:c>
      <x:c r="W142" s="363" t="str">
        <x:f>IF($A142="","",'Pricing Rules'!$B$5)</x:f>
      </x:c>
      <x:c r="X142" s="363"/>
      <x:c r="Y142" s="363" t="str">
        <x:f>IF($A142="","",SUM(V142:X142))</x:f>
      </x:c>
      <x:c r="Z142" s="363" t="str">
        <x:f>IF($A142="","",Y142*'Pricing Rules'!$B$6)</x:f>
      </x:c>
      <x:c r="AA142" s="363" t="str">
        <x:f>IF($A142="","",Y142+Z142)</x:f>
      </x:c>
      <x:c r="AB142" s="388" t="str">
        <x:f>IF($A142="","",'Pricing Rules'!$B$7)</x:f>
      </x:c>
      <x:c r="AC142" s="363" t="str">
        <x:f>IF($A142="","",'Pricing Rules'!$B$8)</x:f>
      </x:c>
      <x:c r="AD142" s="388" t="str">
        <x:f>IF($A142="","",'Pricing Rules'!$B$9)</x:f>
      </x:c>
      <x:c r="AE142" s="363" t="str">
        <x:f>IF($A142="","",(AA142+AC142)/(1-AB142))</x:f>
      </x:c>
      <x:c r="AF142" s="363"/>
      <x:c r="AG142" s="363" t="str">
        <x:f>IF($A142="","",AA142/(1-AD142))</x:f>
      </x:c>
      <x:c r="AH142" s="363"/>
      <x:c r="AI142" s="363"/>
      <x:c r="AJ142" s="363" t="str">
        <x:f>IF($A142="","",IF(AI142&gt;0,IF(E142="Salla/Zid",AI142*(1-AB142)-AC142-Y142,IF(OR(E142="HungerStation",E142="ToYou",E142="The Chefz"),AI142*(1-AD142)-Y142,AI142-Y142)),""))</x:f>
      </x:c>
      <x:c r="AK142" s="388" t="str">
        <x:f>IF($A142="","",IF(Y142&gt;0,AJ142/Y142,""))</x:f>
      </x:c>
      <x:c r="AL142" s="364"/>
      <x:c r="AM142" s="365"/>
      <x:c r="AN142" s="389"/>
    </x:row>
    <x:row r="143">
      <x:c r="A143" s="361"/>
      <x:c r="B143" s="362"/>
      <x:c r="C143" s="362"/>
      <x:c r="D143" s="362"/>
      <x:c r="E143" s="362"/>
      <x:c r="F143" s="362"/>
      <x:c r="G143" s="362"/>
      <x:c r="H143" s="362"/>
      <x:c r="I143" s="363"/>
      <x:c r="J143" s="362"/>
      <x:c r="K143" s="362"/>
      <x:c r="L143" s="363"/>
      <x:c r="M143" s="362"/>
      <x:c r="N143" s="362"/>
      <x:c r="O143" s="363"/>
      <x:c r="P143" s="362"/>
      <x:c r="Q143" s="362"/>
      <x:c r="R143" s="363"/>
      <x:c r="S143" s="362"/>
      <x:c r="T143" s="362"/>
      <x:c r="U143" s="363"/>
      <x:c r="V143" s="363" t="str">
        <x:f>IF($A143="","",SUM(I143,L143,O143,R143,U143))</x:f>
      </x:c>
      <x:c r="W143" s="363" t="str">
        <x:f>IF($A143="","",'Pricing Rules'!$B$5)</x:f>
      </x:c>
      <x:c r="X143" s="363"/>
      <x:c r="Y143" s="363" t="str">
        <x:f>IF($A143="","",SUM(V143:X143))</x:f>
      </x:c>
      <x:c r="Z143" s="363" t="str">
        <x:f>IF($A143="","",Y143*'Pricing Rules'!$B$6)</x:f>
      </x:c>
      <x:c r="AA143" s="363" t="str">
        <x:f>IF($A143="","",Y143+Z143)</x:f>
      </x:c>
      <x:c r="AB143" s="388" t="str">
        <x:f>IF($A143="","",'Pricing Rules'!$B$7)</x:f>
      </x:c>
      <x:c r="AC143" s="363" t="str">
        <x:f>IF($A143="","",'Pricing Rules'!$B$8)</x:f>
      </x:c>
      <x:c r="AD143" s="388" t="str">
        <x:f>IF($A143="","",'Pricing Rules'!$B$9)</x:f>
      </x:c>
      <x:c r="AE143" s="363" t="str">
        <x:f>IF($A143="","",(AA143+AC143)/(1-AB143))</x:f>
      </x:c>
      <x:c r="AF143" s="363"/>
      <x:c r="AG143" s="363" t="str">
        <x:f>IF($A143="","",AA143/(1-AD143))</x:f>
      </x:c>
      <x:c r="AH143" s="363"/>
      <x:c r="AI143" s="363"/>
      <x:c r="AJ143" s="363" t="str">
        <x:f>IF($A143="","",IF(AI143&gt;0,IF(E143="Salla/Zid",AI143*(1-AB143)-AC143-Y143,IF(OR(E143="HungerStation",E143="ToYou",E143="The Chefz"),AI143*(1-AD143)-Y143,AI143-Y143)),""))</x:f>
      </x:c>
      <x:c r="AK143" s="388" t="str">
        <x:f>IF($A143="","",IF(Y143&gt;0,AJ143/Y143,""))</x:f>
      </x:c>
      <x:c r="AL143" s="364"/>
      <x:c r="AM143" s="365"/>
      <x:c r="AN143" s="389"/>
    </x:row>
    <x:row r="144">
      <x:c r="A144" s="361"/>
      <x:c r="B144" s="362"/>
      <x:c r="C144" s="362"/>
      <x:c r="D144" s="362"/>
      <x:c r="E144" s="362"/>
      <x:c r="F144" s="362"/>
      <x:c r="G144" s="362"/>
      <x:c r="H144" s="362"/>
      <x:c r="I144" s="363"/>
      <x:c r="J144" s="362"/>
      <x:c r="K144" s="362"/>
      <x:c r="L144" s="363"/>
      <x:c r="M144" s="362"/>
      <x:c r="N144" s="362"/>
      <x:c r="O144" s="363"/>
      <x:c r="P144" s="362"/>
      <x:c r="Q144" s="362"/>
      <x:c r="R144" s="363"/>
      <x:c r="S144" s="362"/>
      <x:c r="T144" s="362"/>
      <x:c r="U144" s="363"/>
      <x:c r="V144" s="363" t="str">
        <x:f>IF($A144="","",SUM(I144,L144,O144,R144,U144))</x:f>
      </x:c>
      <x:c r="W144" s="363" t="str">
        <x:f>IF($A144="","",'Pricing Rules'!$B$5)</x:f>
      </x:c>
      <x:c r="X144" s="363"/>
      <x:c r="Y144" s="363" t="str">
        <x:f>IF($A144="","",SUM(V144:X144))</x:f>
      </x:c>
      <x:c r="Z144" s="363" t="str">
        <x:f>IF($A144="","",Y144*'Pricing Rules'!$B$6)</x:f>
      </x:c>
      <x:c r="AA144" s="363" t="str">
        <x:f>IF($A144="","",Y144+Z144)</x:f>
      </x:c>
      <x:c r="AB144" s="388" t="str">
        <x:f>IF($A144="","",'Pricing Rules'!$B$7)</x:f>
      </x:c>
      <x:c r="AC144" s="363" t="str">
        <x:f>IF($A144="","",'Pricing Rules'!$B$8)</x:f>
      </x:c>
      <x:c r="AD144" s="388" t="str">
        <x:f>IF($A144="","",'Pricing Rules'!$B$9)</x:f>
      </x:c>
      <x:c r="AE144" s="363" t="str">
        <x:f>IF($A144="","",(AA144+AC144)/(1-AB144))</x:f>
      </x:c>
      <x:c r="AF144" s="363"/>
      <x:c r="AG144" s="363" t="str">
        <x:f>IF($A144="","",AA144/(1-AD144))</x:f>
      </x:c>
      <x:c r="AH144" s="363"/>
      <x:c r="AI144" s="363"/>
      <x:c r="AJ144" s="363" t="str">
        <x:f>IF($A144="","",IF(AI144&gt;0,IF(E144="Salla/Zid",AI144*(1-AB144)-AC144-Y144,IF(OR(E144="HungerStation",E144="ToYou",E144="The Chefz"),AI144*(1-AD144)-Y144,AI144-Y144)),""))</x:f>
      </x:c>
      <x:c r="AK144" s="388" t="str">
        <x:f>IF($A144="","",IF(Y144&gt;0,AJ144/Y144,""))</x:f>
      </x:c>
      <x:c r="AL144" s="364"/>
      <x:c r="AM144" s="365"/>
      <x:c r="AN144" s="389"/>
    </x:row>
    <x:row r="145">
      <x:c r="A145" s="361"/>
      <x:c r="B145" s="362"/>
      <x:c r="C145" s="362"/>
      <x:c r="D145" s="362"/>
      <x:c r="E145" s="362"/>
      <x:c r="F145" s="362"/>
      <x:c r="G145" s="362"/>
      <x:c r="H145" s="362"/>
      <x:c r="I145" s="363"/>
      <x:c r="J145" s="362"/>
      <x:c r="K145" s="362"/>
      <x:c r="L145" s="363"/>
      <x:c r="M145" s="362"/>
      <x:c r="N145" s="362"/>
      <x:c r="O145" s="363"/>
      <x:c r="P145" s="362"/>
      <x:c r="Q145" s="362"/>
      <x:c r="R145" s="363"/>
      <x:c r="S145" s="362"/>
      <x:c r="T145" s="362"/>
      <x:c r="U145" s="363"/>
      <x:c r="V145" s="363" t="str">
        <x:f>IF($A145="","",SUM(I145,L145,O145,R145,U145))</x:f>
      </x:c>
      <x:c r="W145" s="363" t="str">
        <x:f>IF($A145="","",'Pricing Rules'!$B$5)</x:f>
      </x:c>
      <x:c r="X145" s="363"/>
      <x:c r="Y145" s="363" t="str">
        <x:f>IF($A145="","",SUM(V145:X145))</x:f>
      </x:c>
      <x:c r="Z145" s="363" t="str">
        <x:f>IF($A145="","",Y145*'Pricing Rules'!$B$6)</x:f>
      </x:c>
      <x:c r="AA145" s="363" t="str">
        <x:f>IF($A145="","",Y145+Z145)</x:f>
      </x:c>
      <x:c r="AB145" s="388" t="str">
        <x:f>IF($A145="","",'Pricing Rules'!$B$7)</x:f>
      </x:c>
      <x:c r="AC145" s="363" t="str">
        <x:f>IF($A145="","",'Pricing Rules'!$B$8)</x:f>
      </x:c>
      <x:c r="AD145" s="388" t="str">
        <x:f>IF($A145="","",'Pricing Rules'!$B$9)</x:f>
      </x:c>
      <x:c r="AE145" s="363" t="str">
        <x:f>IF($A145="","",(AA145+AC145)/(1-AB145))</x:f>
      </x:c>
      <x:c r="AF145" s="363"/>
      <x:c r="AG145" s="363" t="str">
        <x:f>IF($A145="","",AA145/(1-AD145))</x:f>
      </x:c>
      <x:c r="AH145" s="363"/>
      <x:c r="AI145" s="363"/>
      <x:c r="AJ145" s="363" t="str">
        <x:f>IF($A145="","",IF(AI145&gt;0,IF(E145="Salla/Zid",AI145*(1-AB145)-AC145-Y145,IF(OR(E145="HungerStation",E145="ToYou",E145="The Chefz"),AI145*(1-AD145)-Y145,AI145-Y145)),""))</x:f>
      </x:c>
      <x:c r="AK145" s="388" t="str">
        <x:f>IF($A145="","",IF(Y145&gt;0,AJ145/Y145,""))</x:f>
      </x:c>
      <x:c r="AL145" s="364"/>
      <x:c r="AM145" s="365"/>
      <x:c r="AN145" s="389"/>
    </x:row>
    <x:row r="146">
      <x:c r="A146" s="361"/>
      <x:c r="B146" s="362"/>
      <x:c r="C146" s="362"/>
      <x:c r="D146" s="362"/>
      <x:c r="E146" s="362"/>
      <x:c r="F146" s="362"/>
      <x:c r="G146" s="362"/>
      <x:c r="H146" s="362"/>
      <x:c r="I146" s="363"/>
      <x:c r="J146" s="362"/>
      <x:c r="K146" s="362"/>
      <x:c r="L146" s="363"/>
      <x:c r="M146" s="362"/>
      <x:c r="N146" s="362"/>
      <x:c r="O146" s="363"/>
      <x:c r="P146" s="362"/>
      <x:c r="Q146" s="362"/>
      <x:c r="R146" s="363"/>
      <x:c r="S146" s="362"/>
      <x:c r="T146" s="362"/>
      <x:c r="U146" s="363"/>
      <x:c r="V146" s="363" t="str">
        <x:f>IF($A146="","",SUM(I146,L146,O146,R146,U146))</x:f>
      </x:c>
      <x:c r="W146" s="363" t="str">
        <x:f>IF($A146="","",'Pricing Rules'!$B$5)</x:f>
      </x:c>
      <x:c r="X146" s="363"/>
      <x:c r="Y146" s="363" t="str">
        <x:f>IF($A146="","",SUM(V146:X146))</x:f>
      </x:c>
      <x:c r="Z146" s="363" t="str">
        <x:f>IF($A146="","",Y146*'Pricing Rules'!$B$6)</x:f>
      </x:c>
      <x:c r="AA146" s="363" t="str">
        <x:f>IF($A146="","",Y146+Z146)</x:f>
      </x:c>
      <x:c r="AB146" s="388" t="str">
        <x:f>IF($A146="","",'Pricing Rules'!$B$7)</x:f>
      </x:c>
      <x:c r="AC146" s="363" t="str">
        <x:f>IF($A146="","",'Pricing Rules'!$B$8)</x:f>
      </x:c>
      <x:c r="AD146" s="388" t="str">
        <x:f>IF($A146="","",'Pricing Rules'!$B$9)</x:f>
      </x:c>
      <x:c r="AE146" s="363" t="str">
        <x:f>IF($A146="","",(AA146+AC146)/(1-AB146))</x:f>
      </x:c>
      <x:c r="AF146" s="363"/>
      <x:c r="AG146" s="363" t="str">
        <x:f>IF($A146="","",AA146/(1-AD146))</x:f>
      </x:c>
      <x:c r="AH146" s="363"/>
      <x:c r="AI146" s="363"/>
      <x:c r="AJ146" s="363" t="str">
        <x:f>IF($A146="","",IF(AI146&gt;0,IF(E146="Salla/Zid",AI146*(1-AB146)-AC146-Y146,IF(OR(E146="HungerStation",E146="ToYou",E146="The Chefz"),AI146*(1-AD146)-Y146,AI146-Y146)),""))</x:f>
      </x:c>
      <x:c r="AK146" s="388" t="str">
        <x:f>IF($A146="","",IF(Y146&gt;0,AJ146/Y146,""))</x:f>
      </x:c>
      <x:c r="AL146" s="364"/>
      <x:c r="AM146" s="365"/>
      <x:c r="AN146" s="389"/>
    </x:row>
    <x:row r="147">
      <x:c r="A147" s="361"/>
      <x:c r="B147" s="362"/>
      <x:c r="C147" s="362"/>
      <x:c r="D147" s="362"/>
      <x:c r="E147" s="362"/>
      <x:c r="F147" s="362"/>
      <x:c r="G147" s="362"/>
      <x:c r="H147" s="362"/>
      <x:c r="I147" s="363"/>
      <x:c r="J147" s="362"/>
      <x:c r="K147" s="362"/>
      <x:c r="L147" s="363"/>
      <x:c r="M147" s="362"/>
      <x:c r="N147" s="362"/>
      <x:c r="O147" s="363"/>
      <x:c r="P147" s="362"/>
      <x:c r="Q147" s="362"/>
      <x:c r="R147" s="363"/>
      <x:c r="S147" s="362"/>
      <x:c r="T147" s="362"/>
      <x:c r="U147" s="363"/>
      <x:c r="V147" s="363" t="str">
        <x:f>IF($A147="","",SUM(I147,L147,O147,R147,U147))</x:f>
      </x:c>
      <x:c r="W147" s="363" t="str">
        <x:f>IF($A147="","",'Pricing Rules'!$B$5)</x:f>
      </x:c>
      <x:c r="X147" s="363"/>
      <x:c r="Y147" s="363" t="str">
        <x:f>IF($A147="","",SUM(V147:X147))</x:f>
      </x:c>
      <x:c r="Z147" s="363" t="str">
        <x:f>IF($A147="","",Y147*'Pricing Rules'!$B$6)</x:f>
      </x:c>
      <x:c r="AA147" s="363" t="str">
        <x:f>IF($A147="","",Y147+Z147)</x:f>
      </x:c>
      <x:c r="AB147" s="388" t="str">
        <x:f>IF($A147="","",'Pricing Rules'!$B$7)</x:f>
      </x:c>
      <x:c r="AC147" s="363" t="str">
        <x:f>IF($A147="","",'Pricing Rules'!$B$8)</x:f>
      </x:c>
      <x:c r="AD147" s="388" t="str">
        <x:f>IF($A147="","",'Pricing Rules'!$B$9)</x:f>
      </x:c>
      <x:c r="AE147" s="363" t="str">
        <x:f>IF($A147="","",(AA147+AC147)/(1-AB147))</x:f>
      </x:c>
      <x:c r="AF147" s="363"/>
      <x:c r="AG147" s="363" t="str">
        <x:f>IF($A147="","",AA147/(1-AD147))</x:f>
      </x:c>
      <x:c r="AH147" s="363"/>
      <x:c r="AI147" s="363"/>
      <x:c r="AJ147" s="363" t="str">
        <x:f>IF($A147="","",IF(AI147&gt;0,IF(E147="Salla/Zid",AI147*(1-AB147)-AC147-Y147,IF(OR(E147="HungerStation",E147="ToYou",E147="The Chefz"),AI147*(1-AD147)-Y147,AI147-Y147)),""))</x:f>
      </x:c>
      <x:c r="AK147" s="388" t="str">
        <x:f>IF($A147="","",IF(Y147&gt;0,AJ147/Y147,""))</x:f>
      </x:c>
      <x:c r="AL147" s="364"/>
      <x:c r="AM147" s="365"/>
      <x:c r="AN147" s="389"/>
    </x:row>
    <x:row r="148">
      <x:c r="A148" s="361"/>
      <x:c r="B148" s="362"/>
      <x:c r="C148" s="362"/>
      <x:c r="D148" s="362"/>
      <x:c r="E148" s="362"/>
      <x:c r="F148" s="362"/>
      <x:c r="G148" s="362"/>
      <x:c r="H148" s="362"/>
      <x:c r="I148" s="363"/>
      <x:c r="J148" s="362"/>
      <x:c r="K148" s="362"/>
      <x:c r="L148" s="363"/>
      <x:c r="M148" s="362"/>
      <x:c r="N148" s="362"/>
      <x:c r="O148" s="363"/>
      <x:c r="P148" s="362"/>
      <x:c r="Q148" s="362"/>
      <x:c r="R148" s="363"/>
      <x:c r="S148" s="362"/>
      <x:c r="T148" s="362"/>
      <x:c r="U148" s="363"/>
      <x:c r="V148" s="363" t="str">
        <x:f>IF($A148="","",SUM(I148,L148,O148,R148,U148))</x:f>
      </x:c>
      <x:c r="W148" s="363" t="str">
        <x:f>IF($A148="","",'Pricing Rules'!$B$5)</x:f>
      </x:c>
      <x:c r="X148" s="363"/>
      <x:c r="Y148" s="363" t="str">
        <x:f>IF($A148="","",SUM(V148:X148))</x:f>
      </x:c>
      <x:c r="Z148" s="363" t="str">
        <x:f>IF($A148="","",Y148*'Pricing Rules'!$B$6)</x:f>
      </x:c>
      <x:c r="AA148" s="363" t="str">
        <x:f>IF($A148="","",Y148+Z148)</x:f>
      </x:c>
      <x:c r="AB148" s="388" t="str">
        <x:f>IF($A148="","",'Pricing Rules'!$B$7)</x:f>
      </x:c>
      <x:c r="AC148" s="363" t="str">
        <x:f>IF($A148="","",'Pricing Rules'!$B$8)</x:f>
      </x:c>
      <x:c r="AD148" s="388" t="str">
        <x:f>IF($A148="","",'Pricing Rules'!$B$9)</x:f>
      </x:c>
      <x:c r="AE148" s="363" t="str">
        <x:f>IF($A148="","",(AA148+AC148)/(1-AB148))</x:f>
      </x:c>
      <x:c r="AF148" s="363"/>
      <x:c r="AG148" s="363" t="str">
        <x:f>IF($A148="","",AA148/(1-AD148))</x:f>
      </x:c>
      <x:c r="AH148" s="363"/>
      <x:c r="AI148" s="363"/>
      <x:c r="AJ148" s="363" t="str">
        <x:f>IF($A148="","",IF(AI148&gt;0,IF(E148="Salla/Zid",AI148*(1-AB148)-AC148-Y148,IF(OR(E148="HungerStation",E148="ToYou",E148="The Chefz"),AI148*(1-AD148)-Y148,AI148-Y148)),""))</x:f>
      </x:c>
      <x:c r="AK148" s="388" t="str">
        <x:f>IF($A148="","",IF(Y148&gt;0,AJ148/Y148,""))</x:f>
      </x:c>
      <x:c r="AL148" s="364"/>
      <x:c r="AM148" s="365"/>
      <x:c r="AN148" s="389"/>
    </x:row>
    <x:row r="149">
      <x:c r="A149" s="361"/>
      <x:c r="B149" s="362"/>
      <x:c r="C149" s="362"/>
      <x:c r="D149" s="362"/>
      <x:c r="E149" s="362"/>
      <x:c r="F149" s="362"/>
      <x:c r="G149" s="362"/>
      <x:c r="H149" s="362"/>
      <x:c r="I149" s="363"/>
      <x:c r="J149" s="362"/>
      <x:c r="K149" s="362"/>
      <x:c r="L149" s="363"/>
      <x:c r="M149" s="362"/>
      <x:c r="N149" s="362"/>
      <x:c r="O149" s="363"/>
      <x:c r="P149" s="362"/>
      <x:c r="Q149" s="362"/>
      <x:c r="R149" s="363"/>
      <x:c r="S149" s="362"/>
      <x:c r="T149" s="362"/>
      <x:c r="U149" s="363"/>
      <x:c r="V149" s="363" t="str">
        <x:f>IF($A149="","",SUM(I149,L149,O149,R149,U149))</x:f>
      </x:c>
      <x:c r="W149" s="363" t="str">
        <x:f>IF($A149="","",'Pricing Rules'!$B$5)</x:f>
      </x:c>
      <x:c r="X149" s="363"/>
      <x:c r="Y149" s="363" t="str">
        <x:f>IF($A149="","",SUM(V149:X149))</x:f>
      </x:c>
      <x:c r="Z149" s="363" t="str">
        <x:f>IF($A149="","",Y149*'Pricing Rules'!$B$6)</x:f>
      </x:c>
      <x:c r="AA149" s="363" t="str">
        <x:f>IF($A149="","",Y149+Z149)</x:f>
      </x:c>
      <x:c r="AB149" s="388" t="str">
        <x:f>IF($A149="","",'Pricing Rules'!$B$7)</x:f>
      </x:c>
      <x:c r="AC149" s="363" t="str">
        <x:f>IF($A149="","",'Pricing Rules'!$B$8)</x:f>
      </x:c>
      <x:c r="AD149" s="388" t="str">
        <x:f>IF($A149="","",'Pricing Rules'!$B$9)</x:f>
      </x:c>
      <x:c r="AE149" s="363" t="str">
        <x:f>IF($A149="","",(AA149+AC149)/(1-AB149))</x:f>
      </x:c>
      <x:c r="AF149" s="363"/>
      <x:c r="AG149" s="363" t="str">
        <x:f>IF($A149="","",AA149/(1-AD149))</x:f>
      </x:c>
      <x:c r="AH149" s="363"/>
      <x:c r="AI149" s="363"/>
      <x:c r="AJ149" s="363" t="str">
        <x:f>IF($A149="","",IF(AI149&gt;0,IF(E149="Salla/Zid",AI149*(1-AB149)-AC149-Y149,IF(OR(E149="HungerStation",E149="ToYou",E149="The Chefz"),AI149*(1-AD149)-Y149,AI149-Y149)),""))</x:f>
      </x:c>
      <x:c r="AK149" s="388" t="str">
        <x:f>IF($A149="","",IF(Y149&gt;0,AJ149/Y149,""))</x:f>
      </x:c>
      <x:c r="AL149" s="364"/>
      <x:c r="AM149" s="365"/>
      <x:c r="AN149" s="389"/>
    </x:row>
    <x:row r="150">
      <x:c r="A150" s="361"/>
      <x:c r="B150" s="362"/>
      <x:c r="C150" s="362"/>
      <x:c r="D150" s="362"/>
      <x:c r="E150" s="362"/>
      <x:c r="F150" s="362"/>
      <x:c r="G150" s="362"/>
      <x:c r="H150" s="362"/>
      <x:c r="I150" s="363"/>
      <x:c r="J150" s="362"/>
      <x:c r="K150" s="362"/>
      <x:c r="L150" s="363"/>
      <x:c r="M150" s="362"/>
      <x:c r="N150" s="362"/>
      <x:c r="O150" s="363"/>
      <x:c r="P150" s="362"/>
      <x:c r="Q150" s="362"/>
      <x:c r="R150" s="363"/>
      <x:c r="S150" s="362"/>
      <x:c r="T150" s="362"/>
      <x:c r="U150" s="363"/>
      <x:c r="V150" s="363" t="str">
        <x:f>IF($A150="","",SUM(I150,L150,O150,R150,U150))</x:f>
      </x:c>
      <x:c r="W150" s="363" t="str">
        <x:f>IF($A150="","",'Pricing Rules'!$B$5)</x:f>
      </x:c>
      <x:c r="X150" s="363"/>
      <x:c r="Y150" s="363" t="str">
        <x:f>IF($A150="","",SUM(V150:X150))</x:f>
      </x:c>
      <x:c r="Z150" s="363" t="str">
        <x:f>IF($A150="","",Y150*'Pricing Rules'!$B$6)</x:f>
      </x:c>
      <x:c r="AA150" s="363" t="str">
        <x:f>IF($A150="","",Y150+Z150)</x:f>
      </x:c>
      <x:c r="AB150" s="388" t="str">
        <x:f>IF($A150="","",'Pricing Rules'!$B$7)</x:f>
      </x:c>
      <x:c r="AC150" s="363" t="str">
        <x:f>IF($A150="","",'Pricing Rules'!$B$8)</x:f>
      </x:c>
      <x:c r="AD150" s="388" t="str">
        <x:f>IF($A150="","",'Pricing Rules'!$B$9)</x:f>
      </x:c>
      <x:c r="AE150" s="363" t="str">
        <x:f>IF($A150="","",(AA150+AC150)/(1-AB150))</x:f>
      </x:c>
      <x:c r="AF150" s="363"/>
      <x:c r="AG150" s="363" t="str">
        <x:f>IF($A150="","",AA150/(1-AD150))</x:f>
      </x:c>
      <x:c r="AH150" s="363"/>
      <x:c r="AI150" s="363"/>
      <x:c r="AJ150" s="363" t="str">
        <x:f>IF($A150="","",IF(AI150&gt;0,IF(E150="Salla/Zid",AI150*(1-AB150)-AC150-Y150,IF(OR(E150="HungerStation",E150="ToYou",E150="The Chefz"),AI150*(1-AD150)-Y150,AI150-Y150)),""))</x:f>
      </x:c>
      <x:c r="AK150" s="388" t="str">
        <x:f>IF($A150="","",IF(Y150&gt;0,AJ150/Y150,""))</x:f>
      </x:c>
      <x:c r="AL150" s="364"/>
      <x:c r="AM150" s="365"/>
      <x:c r="AN150" s="389"/>
    </x:row>
    <x:row r="151">
      <x:c r="A151" s="361"/>
      <x:c r="B151" s="362"/>
      <x:c r="C151" s="362"/>
      <x:c r="D151" s="362"/>
      <x:c r="E151" s="362"/>
      <x:c r="F151" s="362"/>
      <x:c r="G151" s="362"/>
      <x:c r="H151" s="362"/>
      <x:c r="I151" s="363"/>
      <x:c r="J151" s="362"/>
      <x:c r="K151" s="362"/>
      <x:c r="L151" s="363"/>
      <x:c r="M151" s="362"/>
      <x:c r="N151" s="362"/>
      <x:c r="O151" s="363"/>
      <x:c r="P151" s="362"/>
      <x:c r="Q151" s="362"/>
      <x:c r="R151" s="363"/>
      <x:c r="S151" s="362"/>
      <x:c r="T151" s="362"/>
      <x:c r="U151" s="363"/>
      <x:c r="V151" s="363" t="str">
        <x:f>IF($A151="","",SUM(I151,L151,O151,R151,U151))</x:f>
      </x:c>
      <x:c r="W151" s="363" t="str">
        <x:f>IF($A151="","",'Pricing Rules'!$B$5)</x:f>
      </x:c>
      <x:c r="X151" s="363"/>
      <x:c r="Y151" s="363" t="str">
        <x:f>IF($A151="","",SUM(V151:X151))</x:f>
      </x:c>
      <x:c r="Z151" s="363" t="str">
        <x:f>IF($A151="","",Y151*'Pricing Rules'!$B$6)</x:f>
      </x:c>
      <x:c r="AA151" s="363" t="str">
        <x:f>IF($A151="","",Y151+Z151)</x:f>
      </x:c>
      <x:c r="AB151" s="388" t="str">
        <x:f>IF($A151="","",'Pricing Rules'!$B$7)</x:f>
      </x:c>
      <x:c r="AC151" s="363" t="str">
        <x:f>IF($A151="","",'Pricing Rules'!$B$8)</x:f>
      </x:c>
      <x:c r="AD151" s="388" t="str">
        <x:f>IF($A151="","",'Pricing Rules'!$B$9)</x:f>
      </x:c>
      <x:c r="AE151" s="363" t="str">
        <x:f>IF($A151="","",(AA151+AC151)/(1-AB151))</x:f>
      </x:c>
      <x:c r="AF151" s="363"/>
      <x:c r="AG151" s="363" t="str">
        <x:f>IF($A151="","",AA151/(1-AD151))</x:f>
      </x:c>
      <x:c r="AH151" s="363"/>
      <x:c r="AI151" s="363"/>
      <x:c r="AJ151" s="363" t="str">
        <x:f>IF($A151="","",IF(AI151&gt;0,IF(E151="Salla/Zid",AI151*(1-AB151)-AC151-Y151,IF(OR(E151="HungerStation",E151="ToYou",E151="The Chefz"),AI151*(1-AD151)-Y151,AI151-Y151)),""))</x:f>
      </x:c>
      <x:c r="AK151" s="388" t="str">
        <x:f>IF($A151="","",IF(Y151&gt;0,AJ151/Y151,""))</x:f>
      </x:c>
      <x:c r="AL151" s="364"/>
      <x:c r="AM151" s="365"/>
      <x:c r="AN151" s="389"/>
    </x:row>
    <x:row r="152">
      <x:c r="A152" s="361"/>
      <x:c r="B152" s="362"/>
      <x:c r="C152" s="362"/>
      <x:c r="D152" s="362"/>
      <x:c r="E152" s="362"/>
      <x:c r="F152" s="362"/>
      <x:c r="G152" s="362"/>
      <x:c r="H152" s="362"/>
      <x:c r="I152" s="363"/>
      <x:c r="J152" s="362"/>
      <x:c r="K152" s="362"/>
      <x:c r="L152" s="363"/>
      <x:c r="M152" s="362"/>
      <x:c r="N152" s="362"/>
      <x:c r="O152" s="363"/>
      <x:c r="P152" s="362"/>
      <x:c r="Q152" s="362"/>
      <x:c r="R152" s="363"/>
      <x:c r="S152" s="362"/>
      <x:c r="T152" s="362"/>
      <x:c r="U152" s="363"/>
      <x:c r="V152" s="363" t="str">
        <x:f>IF($A152="","",SUM(I152,L152,O152,R152,U152))</x:f>
      </x:c>
      <x:c r="W152" s="363" t="str">
        <x:f>IF($A152="","",'Pricing Rules'!$B$5)</x:f>
      </x:c>
      <x:c r="X152" s="363"/>
      <x:c r="Y152" s="363" t="str">
        <x:f>IF($A152="","",SUM(V152:X152))</x:f>
      </x:c>
      <x:c r="Z152" s="363" t="str">
        <x:f>IF($A152="","",Y152*'Pricing Rules'!$B$6)</x:f>
      </x:c>
      <x:c r="AA152" s="363" t="str">
        <x:f>IF($A152="","",Y152+Z152)</x:f>
      </x:c>
      <x:c r="AB152" s="388" t="str">
        <x:f>IF($A152="","",'Pricing Rules'!$B$7)</x:f>
      </x:c>
      <x:c r="AC152" s="363" t="str">
        <x:f>IF($A152="","",'Pricing Rules'!$B$8)</x:f>
      </x:c>
      <x:c r="AD152" s="388" t="str">
        <x:f>IF($A152="","",'Pricing Rules'!$B$9)</x:f>
      </x:c>
      <x:c r="AE152" s="363" t="str">
        <x:f>IF($A152="","",(AA152+AC152)/(1-AB152))</x:f>
      </x:c>
      <x:c r="AF152" s="363"/>
      <x:c r="AG152" s="363" t="str">
        <x:f>IF($A152="","",AA152/(1-AD152))</x:f>
      </x:c>
      <x:c r="AH152" s="363"/>
      <x:c r="AI152" s="363"/>
      <x:c r="AJ152" s="363" t="str">
        <x:f>IF($A152="","",IF(AI152&gt;0,IF(E152="Salla/Zid",AI152*(1-AB152)-AC152-Y152,IF(OR(E152="HungerStation",E152="ToYou",E152="The Chefz"),AI152*(1-AD152)-Y152,AI152-Y152)),""))</x:f>
      </x:c>
      <x:c r="AK152" s="388" t="str">
        <x:f>IF($A152="","",IF(Y152&gt;0,AJ152/Y152,""))</x:f>
      </x:c>
      <x:c r="AL152" s="364"/>
      <x:c r="AM152" s="365"/>
      <x:c r="AN152" s="389"/>
    </x:row>
    <x:row r="153">
      <x:c r="A153" s="361"/>
      <x:c r="B153" s="362"/>
      <x:c r="C153" s="362"/>
      <x:c r="D153" s="362"/>
      <x:c r="E153" s="362"/>
      <x:c r="F153" s="362"/>
      <x:c r="G153" s="362"/>
      <x:c r="H153" s="362"/>
      <x:c r="I153" s="363"/>
      <x:c r="J153" s="362"/>
      <x:c r="K153" s="362"/>
      <x:c r="L153" s="363"/>
      <x:c r="M153" s="362"/>
      <x:c r="N153" s="362"/>
      <x:c r="O153" s="363"/>
      <x:c r="P153" s="362"/>
      <x:c r="Q153" s="362"/>
      <x:c r="R153" s="363"/>
      <x:c r="S153" s="362"/>
      <x:c r="T153" s="362"/>
      <x:c r="U153" s="363"/>
      <x:c r="V153" s="363" t="str">
        <x:f>IF($A153="","",SUM(I153,L153,O153,R153,U153))</x:f>
      </x:c>
      <x:c r="W153" s="363" t="str">
        <x:f>IF($A153="","",'Pricing Rules'!$B$5)</x:f>
      </x:c>
      <x:c r="X153" s="363"/>
      <x:c r="Y153" s="363" t="str">
        <x:f>IF($A153="","",SUM(V153:X153))</x:f>
      </x:c>
      <x:c r="Z153" s="363" t="str">
        <x:f>IF($A153="","",Y153*'Pricing Rules'!$B$6)</x:f>
      </x:c>
      <x:c r="AA153" s="363" t="str">
        <x:f>IF($A153="","",Y153+Z153)</x:f>
      </x:c>
      <x:c r="AB153" s="388" t="str">
        <x:f>IF($A153="","",'Pricing Rules'!$B$7)</x:f>
      </x:c>
      <x:c r="AC153" s="363" t="str">
        <x:f>IF($A153="","",'Pricing Rules'!$B$8)</x:f>
      </x:c>
      <x:c r="AD153" s="388" t="str">
        <x:f>IF($A153="","",'Pricing Rules'!$B$9)</x:f>
      </x:c>
      <x:c r="AE153" s="363" t="str">
        <x:f>IF($A153="","",(AA153+AC153)/(1-AB153))</x:f>
      </x:c>
      <x:c r="AF153" s="363"/>
      <x:c r="AG153" s="363" t="str">
        <x:f>IF($A153="","",AA153/(1-AD153))</x:f>
      </x:c>
      <x:c r="AH153" s="363"/>
      <x:c r="AI153" s="363"/>
      <x:c r="AJ153" s="363" t="str">
        <x:f>IF($A153="","",IF(AI153&gt;0,IF(E153="Salla/Zid",AI153*(1-AB153)-AC153-Y153,IF(OR(E153="HungerStation",E153="ToYou",E153="The Chefz"),AI153*(1-AD153)-Y153,AI153-Y153)),""))</x:f>
      </x:c>
      <x:c r="AK153" s="388" t="str">
        <x:f>IF($A153="","",IF(Y153&gt;0,AJ153/Y153,""))</x:f>
      </x:c>
      <x:c r="AL153" s="364"/>
      <x:c r="AM153" s="365"/>
      <x:c r="AN153" s="389"/>
    </x:row>
    <x:row r="154">
      <x:c r="A154" s="361"/>
      <x:c r="B154" s="362"/>
      <x:c r="C154" s="362"/>
      <x:c r="D154" s="362"/>
      <x:c r="E154" s="362"/>
      <x:c r="F154" s="362"/>
      <x:c r="G154" s="362"/>
      <x:c r="H154" s="362"/>
      <x:c r="I154" s="363"/>
      <x:c r="J154" s="362"/>
      <x:c r="K154" s="362"/>
      <x:c r="L154" s="363"/>
      <x:c r="M154" s="362"/>
      <x:c r="N154" s="362"/>
      <x:c r="O154" s="363"/>
      <x:c r="P154" s="362"/>
      <x:c r="Q154" s="362"/>
      <x:c r="R154" s="363"/>
      <x:c r="S154" s="362"/>
      <x:c r="T154" s="362"/>
      <x:c r="U154" s="363"/>
      <x:c r="V154" s="363" t="str">
        <x:f>IF($A154="","",SUM(I154,L154,O154,R154,U154))</x:f>
      </x:c>
      <x:c r="W154" s="363" t="str">
        <x:f>IF($A154="","",'Pricing Rules'!$B$5)</x:f>
      </x:c>
      <x:c r="X154" s="363"/>
      <x:c r="Y154" s="363" t="str">
        <x:f>IF($A154="","",SUM(V154:X154))</x:f>
      </x:c>
      <x:c r="Z154" s="363" t="str">
        <x:f>IF($A154="","",Y154*'Pricing Rules'!$B$6)</x:f>
      </x:c>
      <x:c r="AA154" s="363" t="str">
        <x:f>IF($A154="","",Y154+Z154)</x:f>
      </x:c>
      <x:c r="AB154" s="388" t="str">
        <x:f>IF($A154="","",'Pricing Rules'!$B$7)</x:f>
      </x:c>
      <x:c r="AC154" s="363" t="str">
        <x:f>IF($A154="","",'Pricing Rules'!$B$8)</x:f>
      </x:c>
      <x:c r="AD154" s="388" t="str">
        <x:f>IF($A154="","",'Pricing Rules'!$B$9)</x:f>
      </x:c>
      <x:c r="AE154" s="363" t="str">
        <x:f>IF($A154="","",(AA154+AC154)/(1-AB154))</x:f>
      </x:c>
      <x:c r="AF154" s="363"/>
      <x:c r="AG154" s="363" t="str">
        <x:f>IF($A154="","",AA154/(1-AD154))</x:f>
      </x:c>
      <x:c r="AH154" s="363"/>
      <x:c r="AI154" s="363"/>
      <x:c r="AJ154" s="363" t="str">
        <x:f>IF($A154="","",IF(AI154&gt;0,IF(E154="Salla/Zid",AI154*(1-AB154)-AC154-Y154,IF(OR(E154="HungerStation",E154="ToYou",E154="The Chefz"),AI154*(1-AD154)-Y154,AI154-Y154)),""))</x:f>
      </x:c>
      <x:c r="AK154" s="388" t="str">
        <x:f>IF($A154="","",IF(Y154&gt;0,AJ154/Y154,""))</x:f>
      </x:c>
      <x:c r="AL154" s="364"/>
      <x:c r="AM154" s="365"/>
      <x:c r="AN154" s="389"/>
    </x:row>
    <x:row r="155">
      <x:c r="A155" s="361"/>
      <x:c r="B155" s="362"/>
      <x:c r="C155" s="362"/>
      <x:c r="D155" s="362"/>
      <x:c r="E155" s="362"/>
      <x:c r="F155" s="362"/>
      <x:c r="G155" s="362"/>
      <x:c r="H155" s="362"/>
      <x:c r="I155" s="363"/>
      <x:c r="J155" s="362"/>
      <x:c r="K155" s="362"/>
      <x:c r="L155" s="363"/>
      <x:c r="M155" s="362"/>
      <x:c r="N155" s="362"/>
      <x:c r="O155" s="363"/>
      <x:c r="P155" s="362"/>
      <x:c r="Q155" s="362"/>
      <x:c r="R155" s="363"/>
      <x:c r="S155" s="362"/>
      <x:c r="T155" s="362"/>
      <x:c r="U155" s="363"/>
      <x:c r="V155" s="363" t="str">
        <x:f>IF($A155="","",SUM(I155,L155,O155,R155,U155))</x:f>
      </x:c>
      <x:c r="W155" s="363" t="str">
        <x:f>IF($A155="","",'Pricing Rules'!$B$5)</x:f>
      </x:c>
      <x:c r="X155" s="363"/>
      <x:c r="Y155" s="363" t="str">
        <x:f>IF($A155="","",SUM(V155:X155))</x:f>
      </x:c>
      <x:c r="Z155" s="363" t="str">
        <x:f>IF($A155="","",Y155*'Pricing Rules'!$B$6)</x:f>
      </x:c>
      <x:c r="AA155" s="363" t="str">
        <x:f>IF($A155="","",Y155+Z155)</x:f>
      </x:c>
      <x:c r="AB155" s="388" t="str">
        <x:f>IF($A155="","",'Pricing Rules'!$B$7)</x:f>
      </x:c>
      <x:c r="AC155" s="363" t="str">
        <x:f>IF($A155="","",'Pricing Rules'!$B$8)</x:f>
      </x:c>
      <x:c r="AD155" s="388" t="str">
        <x:f>IF($A155="","",'Pricing Rules'!$B$9)</x:f>
      </x:c>
      <x:c r="AE155" s="363" t="str">
        <x:f>IF($A155="","",(AA155+AC155)/(1-AB155))</x:f>
      </x:c>
      <x:c r="AF155" s="363"/>
      <x:c r="AG155" s="363" t="str">
        <x:f>IF($A155="","",AA155/(1-AD155))</x:f>
      </x:c>
      <x:c r="AH155" s="363"/>
      <x:c r="AI155" s="363"/>
      <x:c r="AJ155" s="363" t="str">
        <x:f>IF($A155="","",IF(AI155&gt;0,IF(E155="Salla/Zid",AI155*(1-AB155)-AC155-Y155,IF(OR(E155="HungerStation",E155="ToYou",E155="The Chefz"),AI155*(1-AD155)-Y155,AI155-Y155)),""))</x:f>
      </x:c>
      <x:c r="AK155" s="388" t="str">
        <x:f>IF($A155="","",IF(Y155&gt;0,AJ155/Y155,""))</x:f>
      </x:c>
      <x:c r="AL155" s="364"/>
      <x:c r="AM155" s="365"/>
      <x:c r="AN155" s="389"/>
    </x:row>
    <x:row r="156">
      <x:c r="A156" s="361"/>
      <x:c r="B156" s="362"/>
      <x:c r="C156" s="362"/>
      <x:c r="D156" s="362"/>
      <x:c r="E156" s="362"/>
      <x:c r="F156" s="362"/>
      <x:c r="G156" s="362"/>
      <x:c r="H156" s="362"/>
      <x:c r="I156" s="363"/>
      <x:c r="J156" s="362"/>
      <x:c r="K156" s="362"/>
      <x:c r="L156" s="363"/>
      <x:c r="M156" s="362"/>
      <x:c r="N156" s="362"/>
      <x:c r="O156" s="363"/>
      <x:c r="P156" s="362"/>
      <x:c r="Q156" s="362"/>
      <x:c r="R156" s="363"/>
      <x:c r="S156" s="362"/>
      <x:c r="T156" s="362"/>
      <x:c r="U156" s="363"/>
      <x:c r="V156" s="363" t="str">
        <x:f>IF($A156="","",SUM(I156,L156,O156,R156,U156))</x:f>
      </x:c>
      <x:c r="W156" s="363" t="str">
        <x:f>IF($A156="","",'Pricing Rules'!$B$5)</x:f>
      </x:c>
      <x:c r="X156" s="363"/>
      <x:c r="Y156" s="363" t="str">
        <x:f>IF($A156="","",SUM(V156:X156))</x:f>
      </x:c>
      <x:c r="Z156" s="363" t="str">
        <x:f>IF($A156="","",Y156*'Pricing Rules'!$B$6)</x:f>
      </x:c>
      <x:c r="AA156" s="363" t="str">
        <x:f>IF($A156="","",Y156+Z156)</x:f>
      </x:c>
      <x:c r="AB156" s="388" t="str">
        <x:f>IF($A156="","",'Pricing Rules'!$B$7)</x:f>
      </x:c>
      <x:c r="AC156" s="363" t="str">
        <x:f>IF($A156="","",'Pricing Rules'!$B$8)</x:f>
      </x:c>
      <x:c r="AD156" s="388" t="str">
        <x:f>IF($A156="","",'Pricing Rules'!$B$9)</x:f>
      </x:c>
      <x:c r="AE156" s="363" t="str">
        <x:f>IF($A156="","",(AA156+AC156)/(1-AB156))</x:f>
      </x:c>
      <x:c r="AF156" s="363"/>
      <x:c r="AG156" s="363" t="str">
        <x:f>IF($A156="","",AA156/(1-AD156))</x:f>
      </x:c>
      <x:c r="AH156" s="363"/>
      <x:c r="AI156" s="363"/>
      <x:c r="AJ156" s="363" t="str">
        <x:f>IF($A156="","",IF(AI156&gt;0,IF(E156="Salla/Zid",AI156*(1-AB156)-AC156-Y156,IF(OR(E156="HungerStation",E156="ToYou",E156="The Chefz"),AI156*(1-AD156)-Y156,AI156-Y156)),""))</x:f>
      </x:c>
      <x:c r="AK156" s="388" t="str">
        <x:f>IF($A156="","",IF(Y156&gt;0,AJ156/Y156,""))</x:f>
      </x:c>
      <x:c r="AL156" s="364"/>
      <x:c r="AM156" s="365"/>
      <x:c r="AN156" s="389"/>
    </x:row>
    <x:row r="157">
      <x:c r="A157" s="361"/>
      <x:c r="B157" s="362"/>
      <x:c r="C157" s="362"/>
      <x:c r="D157" s="362"/>
      <x:c r="E157" s="362"/>
      <x:c r="F157" s="362"/>
      <x:c r="G157" s="362"/>
      <x:c r="H157" s="362"/>
      <x:c r="I157" s="363"/>
      <x:c r="J157" s="362"/>
      <x:c r="K157" s="362"/>
      <x:c r="L157" s="363"/>
      <x:c r="M157" s="362"/>
      <x:c r="N157" s="362"/>
      <x:c r="O157" s="363"/>
      <x:c r="P157" s="362"/>
      <x:c r="Q157" s="362"/>
      <x:c r="R157" s="363"/>
      <x:c r="S157" s="362"/>
      <x:c r="T157" s="362"/>
      <x:c r="U157" s="363"/>
      <x:c r="V157" s="363" t="str">
        <x:f>IF($A157="","",SUM(I157,L157,O157,R157,U157))</x:f>
      </x:c>
      <x:c r="W157" s="363" t="str">
        <x:f>IF($A157="","",'Pricing Rules'!$B$5)</x:f>
      </x:c>
      <x:c r="X157" s="363"/>
      <x:c r="Y157" s="363" t="str">
        <x:f>IF($A157="","",SUM(V157:X157))</x:f>
      </x:c>
      <x:c r="Z157" s="363" t="str">
        <x:f>IF($A157="","",Y157*'Pricing Rules'!$B$6)</x:f>
      </x:c>
      <x:c r="AA157" s="363" t="str">
        <x:f>IF($A157="","",Y157+Z157)</x:f>
      </x:c>
      <x:c r="AB157" s="388" t="str">
        <x:f>IF($A157="","",'Pricing Rules'!$B$7)</x:f>
      </x:c>
      <x:c r="AC157" s="363" t="str">
        <x:f>IF($A157="","",'Pricing Rules'!$B$8)</x:f>
      </x:c>
      <x:c r="AD157" s="388" t="str">
        <x:f>IF($A157="","",'Pricing Rules'!$B$9)</x:f>
      </x:c>
      <x:c r="AE157" s="363" t="str">
        <x:f>IF($A157="","",(AA157+AC157)/(1-AB157))</x:f>
      </x:c>
      <x:c r="AF157" s="363"/>
      <x:c r="AG157" s="363" t="str">
        <x:f>IF($A157="","",AA157/(1-AD157))</x:f>
      </x:c>
      <x:c r="AH157" s="363"/>
      <x:c r="AI157" s="363"/>
      <x:c r="AJ157" s="363" t="str">
        <x:f>IF($A157="","",IF(AI157&gt;0,IF(E157="Salla/Zid",AI157*(1-AB157)-AC157-Y157,IF(OR(E157="HungerStation",E157="ToYou",E157="The Chefz"),AI157*(1-AD157)-Y157,AI157-Y157)),""))</x:f>
      </x:c>
      <x:c r="AK157" s="388" t="str">
        <x:f>IF($A157="","",IF(Y157&gt;0,AJ157/Y157,""))</x:f>
      </x:c>
      <x:c r="AL157" s="364"/>
      <x:c r="AM157" s="365"/>
      <x:c r="AN157" s="389"/>
    </x:row>
    <x:row r="158">
      <x:c r="A158" s="361"/>
      <x:c r="B158" s="362"/>
      <x:c r="C158" s="362"/>
      <x:c r="D158" s="362"/>
      <x:c r="E158" s="362"/>
      <x:c r="F158" s="362"/>
      <x:c r="G158" s="362"/>
      <x:c r="H158" s="362"/>
      <x:c r="I158" s="363"/>
      <x:c r="J158" s="362"/>
      <x:c r="K158" s="362"/>
      <x:c r="L158" s="363"/>
      <x:c r="M158" s="362"/>
      <x:c r="N158" s="362"/>
      <x:c r="O158" s="363"/>
      <x:c r="P158" s="362"/>
      <x:c r="Q158" s="362"/>
      <x:c r="R158" s="363"/>
      <x:c r="S158" s="362"/>
      <x:c r="T158" s="362"/>
      <x:c r="U158" s="363"/>
      <x:c r="V158" s="363" t="str">
        <x:f>IF($A158="","",SUM(I158,L158,O158,R158,U158))</x:f>
      </x:c>
      <x:c r="W158" s="363" t="str">
        <x:f>IF($A158="","",'Pricing Rules'!$B$5)</x:f>
      </x:c>
      <x:c r="X158" s="363"/>
      <x:c r="Y158" s="363" t="str">
        <x:f>IF($A158="","",SUM(V158:X158))</x:f>
      </x:c>
      <x:c r="Z158" s="363" t="str">
        <x:f>IF($A158="","",Y158*'Pricing Rules'!$B$6)</x:f>
      </x:c>
      <x:c r="AA158" s="363" t="str">
        <x:f>IF($A158="","",Y158+Z158)</x:f>
      </x:c>
      <x:c r="AB158" s="388" t="str">
        <x:f>IF($A158="","",'Pricing Rules'!$B$7)</x:f>
      </x:c>
      <x:c r="AC158" s="363" t="str">
        <x:f>IF($A158="","",'Pricing Rules'!$B$8)</x:f>
      </x:c>
      <x:c r="AD158" s="388" t="str">
        <x:f>IF($A158="","",'Pricing Rules'!$B$9)</x:f>
      </x:c>
      <x:c r="AE158" s="363" t="str">
        <x:f>IF($A158="","",(AA158+AC158)/(1-AB158))</x:f>
      </x:c>
      <x:c r="AF158" s="363"/>
      <x:c r="AG158" s="363" t="str">
        <x:f>IF($A158="","",AA158/(1-AD158))</x:f>
      </x:c>
      <x:c r="AH158" s="363"/>
      <x:c r="AI158" s="363"/>
      <x:c r="AJ158" s="363" t="str">
        <x:f>IF($A158="","",IF(AI158&gt;0,IF(E158="Salla/Zid",AI158*(1-AB158)-AC158-Y158,IF(OR(E158="HungerStation",E158="ToYou",E158="The Chefz"),AI158*(1-AD158)-Y158,AI158-Y158)),""))</x:f>
      </x:c>
      <x:c r="AK158" s="388" t="str">
        <x:f>IF($A158="","",IF(Y158&gt;0,AJ158/Y158,""))</x:f>
      </x:c>
      <x:c r="AL158" s="364"/>
      <x:c r="AM158" s="365"/>
      <x:c r="AN158" s="389"/>
    </x:row>
    <x:row r="159">
      <x:c r="A159" s="361"/>
      <x:c r="B159" s="362"/>
      <x:c r="C159" s="362"/>
      <x:c r="D159" s="362"/>
      <x:c r="E159" s="362"/>
      <x:c r="F159" s="362"/>
      <x:c r="G159" s="362"/>
      <x:c r="H159" s="362"/>
      <x:c r="I159" s="363"/>
      <x:c r="J159" s="362"/>
      <x:c r="K159" s="362"/>
      <x:c r="L159" s="363"/>
      <x:c r="M159" s="362"/>
      <x:c r="N159" s="362"/>
      <x:c r="O159" s="363"/>
      <x:c r="P159" s="362"/>
      <x:c r="Q159" s="362"/>
      <x:c r="R159" s="363"/>
      <x:c r="S159" s="362"/>
      <x:c r="T159" s="362"/>
      <x:c r="U159" s="363"/>
      <x:c r="V159" s="363" t="str">
        <x:f>IF($A159="","",SUM(I159,L159,O159,R159,U159))</x:f>
      </x:c>
      <x:c r="W159" s="363" t="str">
        <x:f>IF($A159="","",'Pricing Rules'!$B$5)</x:f>
      </x:c>
      <x:c r="X159" s="363"/>
      <x:c r="Y159" s="363" t="str">
        <x:f>IF($A159="","",SUM(V159:X159))</x:f>
      </x:c>
      <x:c r="Z159" s="363" t="str">
        <x:f>IF($A159="","",Y159*'Pricing Rules'!$B$6)</x:f>
      </x:c>
      <x:c r="AA159" s="363" t="str">
        <x:f>IF($A159="","",Y159+Z159)</x:f>
      </x:c>
      <x:c r="AB159" s="388" t="str">
        <x:f>IF($A159="","",'Pricing Rules'!$B$7)</x:f>
      </x:c>
      <x:c r="AC159" s="363" t="str">
        <x:f>IF($A159="","",'Pricing Rules'!$B$8)</x:f>
      </x:c>
      <x:c r="AD159" s="388" t="str">
        <x:f>IF($A159="","",'Pricing Rules'!$B$9)</x:f>
      </x:c>
      <x:c r="AE159" s="363" t="str">
        <x:f>IF($A159="","",(AA159+AC159)/(1-AB159))</x:f>
      </x:c>
      <x:c r="AF159" s="363"/>
      <x:c r="AG159" s="363" t="str">
        <x:f>IF($A159="","",AA159/(1-AD159))</x:f>
      </x:c>
      <x:c r="AH159" s="363"/>
      <x:c r="AI159" s="363"/>
      <x:c r="AJ159" s="363" t="str">
        <x:f>IF($A159="","",IF(AI159&gt;0,IF(E159="Salla/Zid",AI159*(1-AB159)-AC159-Y159,IF(OR(E159="HungerStation",E159="ToYou",E159="The Chefz"),AI159*(1-AD159)-Y159,AI159-Y159)),""))</x:f>
      </x:c>
      <x:c r="AK159" s="388" t="str">
        <x:f>IF($A159="","",IF(Y159&gt;0,AJ159/Y159,""))</x:f>
      </x:c>
      <x:c r="AL159" s="364"/>
      <x:c r="AM159" s="365"/>
      <x:c r="AN159" s="389"/>
    </x:row>
    <x:row r="160">
      <x:c r="A160" s="361"/>
      <x:c r="B160" s="362"/>
      <x:c r="C160" s="362"/>
      <x:c r="D160" s="362"/>
      <x:c r="E160" s="362"/>
      <x:c r="F160" s="362"/>
      <x:c r="G160" s="362"/>
      <x:c r="H160" s="362"/>
      <x:c r="I160" s="363"/>
      <x:c r="J160" s="362"/>
      <x:c r="K160" s="362"/>
      <x:c r="L160" s="363"/>
      <x:c r="M160" s="362"/>
      <x:c r="N160" s="362"/>
      <x:c r="O160" s="363"/>
      <x:c r="P160" s="362"/>
      <x:c r="Q160" s="362"/>
      <x:c r="R160" s="363"/>
      <x:c r="S160" s="362"/>
      <x:c r="T160" s="362"/>
      <x:c r="U160" s="363"/>
      <x:c r="V160" s="363" t="str">
        <x:f>IF($A160="","",SUM(I160,L160,O160,R160,U160))</x:f>
      </x:c>
      <x:c r="W160" s="363" t="str">
        <x:f>IF($A160="","",'Pricing Rules'!$B$5)</x:f>
      </x:c>
      <x:c r="X160" s="363"/>
      <x:c r="Y160" s="363" t="str">
        <x:f>IF($A160="","",SUM(V160:X160))</x:f>
      </x:c>
      <x:c r="Z160" s="363" t="str">
        <x:f>IF($A160="","",Y160*'Pricing Rules'!$B$6)</x:f>
      </x:c>
      <x:c r="AA160" s="363" t="str">
        <x:f>IF($A160="","",Y160+Z160)</x:f>
      </x:c>
      <x:c r="AB160" s="388" t="str">
        <x:f>IF($A160="","",'Pricing Rules'!$B$7)</x:f>
      </x:c>
      <x:c r="AC160" s="363" t="str">
        <x:f>IF($A160="","",'Pricing Rules'!$B$8)</x:f>
      </x:c>
      <x:c r="AD160" s="388" t="str">
        <x:f>IF($A160="","",'Pricing Rules'!$B$9)</x:f>
      </x:c>
      <x:c r="AE160" s="363" t="str">
        <x:f>IF($A160="","",(AA160+AC160)/(1-AB160))</x:f>
      </x:c>
      <x:c r="AF160" s="363"/>
      <x:c r="AG160" s="363" t="str">
        <x:f>IF($A160="","",AA160/(1-AD160))</x:f>
      </x:c>
      <x:c r="AH160" s="363"/>
      <x:c r="AI160" s="363"/>
      <x:c r="AJ160" s="363" t="str">
        <x:f>IF($A160="","",IF(AI160&gt;0,IF(E160="Salla/Zid",AI160*(1-AB160)-AC160-Y160,IF(OR(E160="HungerStation",E160="ToYou",E160="The Chefz"),AI160*(1-AD160)-Y160,AI160-Y160)),""))</x:f>
      </x:c>
      <x:c r="AK160" s="388" t="str">
        <x:f>IF($A160="","",IF(Y160&gt;0,AJ160/Y160,""))</x:f>
      </x:c>
      <x:c r="AL160" s="364"/>
      <x:c r="AM160" s="365"/>
      <x:c r="AN160" s="389"/>
    </x:row>
    <x:row r="161">
      <x:c r="A161" s="361"/>
      <x:c r="B161" s="362"/>
      <x:c r="C161" s="362"/>
      <x:c r="D161" s="362"/>
      <x:c r="E161" s="362"/>
      <x:c r="F161" s="362"/>
      <x:c r="G161" s="362"/>
      <x:c r="H161" s="362"/>
      <x:c r="I161" s="363"/>
      <x:c r="J161" s="362"/>
      <x:c r="K161" s="362"/>
      <x:c r="L161" s="363"/>
      <x:c r="M161" s="362"/>
      <x:c r="N161" s="362"/>
      <x:c r="O161" s="363"/>
      <x:c r="P161" s="362"/>
      <x:c r="Q161" s="362"/>
      <x:c r="R161" s="363"/>
      <x:c r="S161" s="362"/>
      <x:c r="T161" s="362"/>
      <x:c r="U161" s="363"/>
      <x:c r="V161" s="363" t="str">
        <x:f>IF($A161="","",SUM(I161,L161,O161,R161,U161))</x:f>
      </x:c>
      <x:c r="W161" s="363" t="str">
        <x:f>IF($A161="","",'Pricing Rules'!$B$5)</x:f>
      </x:c>
      <x:c r="X161" s="363"/>
      <x:c r="Y161" s="363" t="str">
        <x:f>IF($A161="","",SUM(V161:X161))</x:f>
      </x:c>
      <x:c r="Z161" s="363" t="str">
        <x:f>IF($A161="","",Y161*'Pricing Rules'!$B$6)</x:f>
      </x:c>
      <x:c r="AA161" s="363" t="str">
        <x:f>IF($A161="","",Y161+Z161)</x:f>
      </x:c>
      <x:c r="AB161" s="388" t="str">
        <x:f>IF($A161="","",'Pricing Rules'!$B$7)</x:f>
      </x:c>
      <x:c r="AC161" s="363" t="str">
        <x:f>IF($A161="","",'Pricing Rules'!$B$8)</x:f>
      </x:c>
      <x:c r="AD161" s="388" t="str">
        <x:f>IF($A161="","",'Pricing Rules'!$B$9)</x:f>
      </x:c>
      <x:c r="AE161" s="363" t="str">
        <x:f>IF($A161="","",(AA161+AC161)/(1-AB161))</x:f>
      </x:c>
      <x:c r="AF161" s="363"/>
      <x:c r="AG161" s="363" t="str">
        <x:f>IF($A161="","",AA161/(1-AD161))</x:f>
      </x:c>
      <x:c r="AH161" s="363"/>
      <x:c r="AI161" s="363"/>
      <x:c r="AJ161" s="363" t="str">
        <x:f>IF($A161="","",IF(AI161&gt;0,IF(E161="Salla/Zid",AI161*(1-AB161)-AC161-Y161,IF(OR(E161="HungerStation",E161="ToYou",E161="The Chefz"),AI161*(1-AD161)-Y161,AI161-Y161)),""))</x:f>
      </x:c>
      <x:c r="AK161" s="388" t="str">
        <x:f>IF($A161="","",IF(Y161&gt;0,AJ161/Y161,""))</x:f>
      </x:c>
      <x:c r="AL161" s="364"/>
      <x:c r="AM161" s="365"/>
      <x:c r="AN161" s="389"/>
    </x:row>
    <x:row r="162">
      <x:c r="A162" s="361"/>
      <x:c r="B162" s="362"/>
      <x:c r="C162" s="362"/>
      <x:c r="D162" s="362"/>
      <x:c r="E162" s="362"/>
      <x:c r="F162" s="362"/>
      <x:c r="G162" s="362"/>
      <x:c r="H162" s="362"/>
      <x:c r="I162" s="363"/>
      <x:c r="J162" s="362"/>
      <x:c r="K162" s="362"/>
      <x:c r="L162" s="363"/>
      <x:c r="M162" s="362"/>
      <x:c r="N162" s="362"/>
      <x:c r="O162" s="363"/>
      <x:c r="P162" s="362"/>
      <x:c r="Q162" s="362"/>
      <x:c r="R162" s="363"/>
      <x:c r="S162" s="362"/>
      <x:c r="T162" s="362"/>
      <x:c r="U162" s="363"/>
      <x:c r="V162" s="363" t="str">
        <x:f>IF($A162="","",SUM(I162,L162,O162,R162,U162))</x:f>
      </x:c>
      <x:c r="W162" s="363" t="str">
        <x:f>IF($A162="","",'Pricing Rules'!$B$5)</x:f>
      </x:c>
      <x:c r="X162" s="363"/>
      <x:c r="Y162" s="363" t="str">
        <x:f>IF($A162="","",SUM(V162:X162))</x:f>
      </x:c>
      <x:c r="Z162" s="363" t="str">
        <x:f>IF($A162="","",Y162*'Pricing Rules'!$B$6)</x:f>
      </x:c>
      <x:c r="AA162" s="363" t="str">
        <x:f>IF($A162="","",Y162+Z162)</x:f>
      </x:c>
      <x:c r="AB162" s="388" t="str">
        <x:f>IF($A162="","",'Pricing Rules'!$B$7)</x:f>
      </x:c>
      <x:c r="AC162" s="363" t="str">
        <x:f>IF($A162="","",'Pricing Rules'!$B$8)</x:f>
      </x:c>
      <x:c r="AD162" s="388" t="str">
        <x:f>IF($A162="","",'Pricing Rules'!$B$9)</x:f>
      </x:c>
      <x:c r="AE162" s="363" t="str">
        <x:f>IF($A162="","",(AA162+AC162)/(1-AB162))</x:f>
      </x:c>
      <x:c r="AF162" s="363"/>
      <x:c r="AG162" s="363" t="str">
        <x:f>IF($A162="","",AA162/(1-AD162))</x:f>
      </x:c>
      <x:c r="AH162" s="363"/>
      <x:c r="AI162" s="363"/>
      <x:c r="AJ162" s="363" t="str">
        <x:f>IF($A162="","",IF(AI162&gt;0,IF(E162="Salla/Zid",AI162*(1-AB162)-AC162-Y162,IF(OR(E162="HungerStation",E162="ToYou",E162="The Chefz"),AI162*(1-AD162)-Y162,AI162-Y162)),""))</x:f>
      </x:c>
      <x:c r="AK162" s="388" t="str">
        <x:f>IF($A162="","",IF(Y162&gt;0,AJ162/Y162,""))</x:f>
      </x:c>
      <x:c r="AL162" s="364"/>
      <x:c r="AM162" s="365"/>
      <x:c r="AN162" s="389"/>
    </x:row>
    <x:row r="163">
      <x:c r="A163" s="361"/>
      <x:c r="B163" s="362"/>
      <x:c r="C163" s="362"/>
      <x:c r="D163" s="362"/>
      <x:c r="E163" s="362"/>
      <x:c r="F163" s="362"/>
      <x:c r="G163" s="362"/>
      <x:c r="H163" s="362"/>
      <x:c r="I163" s="363"/>
      <x:c r="J163" s="362"/>
      <x:c r="K163" s="362"/>
      <x:c r="L163" s="363"/>
      <x:c r="M163" s="362"/>
      <x:c r="N163" s="362"/>
      <x:c r="O163" s="363"/>
      <x:c r="P163" s="362"/>
      <x:c r="Q163" s="362"/>
      <x:c r="R163" s="363"/>
      <x:c r="S163" s="362"/>
      <x:c r="T163" s="362"/>
      <x:c r="U163" s="363"/>
      <x:c r="V163" s="363" t="str">
        <x:f>IF($A163="","",SUM(I163,L163,O163,R163,U163))</x:f>
      </x:c>
      <x:c r="W163" s="363" t="str">
        <x:f>IF($A163="","",'Pricing Rules'!$B$5)</x:f>
      </x:c>
      <x:c r="X163" s="363"/>
      <x:c r="Y163" s="363" t="str">
        <x:f>IF($A163="","",SUM(V163:X163))</x:f>
      </x:c>
      <x:c r="Z163" s="363" t="str">
        <x:f>IF($A163="","",Y163*'Pricing Rules'!$B$6)</x:f>
      </x:c>
      <x:c r="AA163" s="363" t="str">
        <x:f>IF($A163="","",Y163+Z163)</x:f>
      </x:c>
      <x:c r="AB163" s="388" t="str">
        <x:f>IF($A163="","",'Pricing Rules'!$B$7)</x:f>
      </x:c>
      <x:c r="AC163" s="363" t="str">
        <x:f>IF($A163="","",'Pricing Rules'!$B$8)</x:f>
      </x:c>
      <x:c r="AD163" s="388" t="str">
        <x:f>IF($A163="","",'Pricing Rules'!$B$9)</x:f>
      </x:c>
      <x:c r="AE163" s="363" t="str">
        <x:f>IF($A163="","",(AA163+AC163)/(1-AB163))</x:f>
      </x:c>
      <x:c r="AF163" s="363"/>
      <x:c r="AG163" s="363" t="str">
        <x:f>IF($A163="","",AA163/(1-AD163))</x:f>
      </x:c>
      <x:c r="AH163" s="363"/>
      <x:c r="AI163" s="363"/>
      <x:c r="AJ163" s="363" t="str">
        <x:f>IF($A163="","",IF(AI163&gt;0,IF(E163="Salla/Zid",AI163*(1-AB163)-AC163-Y163,IF(OR(E163="HungerStation",E163="ToYou",E163="The Chefz"),AI163*(1-AD163)-Y163,AI163-Y163)),""))</x:f>
      </x:c>
      <x:c r="AK163" s="388" t="str">
        <x:f>IF($A163="","",IF(Y163&gt;0,AJ163/Y163,""))</x:f>
      </x:c>
      <x:c r="AL163" s="364"/>
      <x:c r="AM163" s="365"/>
      <x:c r="AN163" s="389"/>
    </x:row>
    <x:row r="164">
      <x:c r="A164" s="361"/>
      <x:c r="B164" s="362"/>
      <x:c r="C164" s="362"/>
      <x:c r="D164" s="362"/>
      <x:c r="E164" s="362"/>
      <x:c r="F164" s="362"/>
      <x:c r="G164" s="362"/>
      <x:c r="H164" s="362"/>
      <x:c r="I164" s="363"/>
      <x:c r="J164" s="362"/>
      <x:c r="K164" s="362"/>
      <x:c r="L164" s="363"/>
      <x:c r="M164" s="362"/>
      <x:c r="N164" s="362"/>
      <x:c r="O164" s="363"/>
      <x:c r="P164" s="362"/>
      <x:c r="Q164" s="362"/>
      <x:c r="R164" s="363"/>
      <x:c r="S164" s="362"/>
      <x:c r="T164" s="362"/>
      <x:c r="U164" s="363"/>
      <x:c r="V164" s="363" t="str">
        <x:f>IF($A164="","",SUM(I164,L164,O164,R164,U164))</x:f>
      </x:c>
      <x:c r="W164" s="363" t="str">
        <x:f>IF($A164="","",'Pricing Rules'!$B$5)</x:f>
      </x:c>
      <x:c r="X164" s="363"/>
      <x:c r="Y164" s="363" t="str">
        <x:f>IF($A164="","",SUM(V164:X164))</x:f>
      </x:c>
      <x:c r="Z164" s="363" t="str">
        <x:f>IF($A164="","",Y164*'Pricing Rules'!$B$6)</x:f>
      </x:c>
      <x:c r="AA164" s="363" t="str">
        <x:f>IF($A164="","",Y164+Z164)</x:f>
      </x:c>
      <x:c r="AB164" s="388" t="str">
        <x:f>IF($A164="","",'Pricing Rules'!$B$7)</x:f>
      </x:c>
      <x:c r="AC164" s="363" t="str">
        <x:f>IF($A164="","",'Pricing Rules'!$B$8)</x:f>
      </x:c>
      <x:c r="AD164" s="388" t="str">
        <x:f>IF($A164="","",'Pricing Rules'!$B$9)</x:f>
      </x:c>
      <x:c r="AE164" s="363" t="str">
        <x:f>IF($A164="","",(AA164+AC164)/(1-AB164))</x:f>
      </x:c>
      <x:c r="AF164" s="363"/>
      <x:c r="AG164" s="363" t="str">
        <x:f>IF($A164="","",AA164/(1-AD164))</x:f>
      </x:c>
      <x:c r="AH164" s="363"/>
      <x:c r="AI164" s="363"/>
      <x:c r="AJ164" s="363" t="str">
        <x:f>IF($A164="","",IF(AI164&gt;0,IF(E164="Salla/Zid",AI164*(1-AB164)-AC164-Y164,IF(OR(E164="HungerStation",E164="ToYou",E164="The Chefz"),AI164*(1-AD164)-Y164,AI164-Y164)),""))</x:f>
      </x:c>
      <x:c r="AK164" s="388" t="str">
        <x:f>IF($A164="","",IF(Y164&gt;0,AJ164/Y164,""))</x:f>
      </x:c>
      <x:c r="AL164" s="364"/>
      <x:c r="AM164" s="365"/>
      <x:c r="AN164" s="389"/>
    </x:row>
    <x:row r="165">
      <x:c r="A165" s="361"/>
      <x:c r="B165" s="362"/>
      <x:c r="C165" s="362"/>
      <x:c r="D165" s="362"/>
      <x:c r="E165" s="362"/>
      <x:c r="F165" s="362"/>
      <x:c r="G165" s="362"/>
      <x:c r="H165" s="362"/>
      <x:c r="I165" s="363"/>
      <x:c r="J165" s="362"/>
      <x:c r="K165" s="362"/>
      <x:c r="L165" s="363"/>
      <x:c r="M165" s="362"/>
      <x:c r="N165" s="362"/>
      <x:c r="O165" s="363"/>
      <x:c r="P165" s="362"/>
      <x:c r="Q165" s="362"/>
      <x:c r="R165" s="363"/>
      <x:c r="S165" s="362"/>
      <x:c r="T165" s="362"/>
      <x:c r="U165" s="363"/>
      <x:c r="V165" s="363" t="str">
        <x:f>IF($A165="","",SUM(I165,L165,O165,R165,U165))</x:f>
      </x:c>
      <x:c r="W165" s="363" t="str">
        <x:f>IF($A165="","",'Pricing Rules'!$B$5)</x:f>
      </x:c>
      <x:c r="X165" s="363"/>
      <x:c r="Y165" s="363" t="str">
        <x:f>IF($A165="","",SUM(V165:X165))</x:f>
      </x:c>
      <x:c r="Z165" s="363" t="str">
        <x:f>IF($A165="","",Y165*'Pricing Rules'!$B$6)</x:f>
      </x:c>
      <x:c r="AA165" s="363" t="str">
        <x:f>IF($A165="","",Y165+Z165)</x:f>
      </x:c>
      <x:c r="AB165" s="388" t="str">
        <x:f>IF($A165="","",'Pricing Rules'!$B$7)</x:f>
      </x:c>
      <x:c r="AC165" s="363" t="str">
        <x:f>IF($A165="","",'Pricing Rules'!$B$8)</x:f>
      </x:c>
      <x:c r="AD165" s="388" t="str">
        <x:f>IF($A165="","",'Pricing Rules'!$B$9)</x:f>
      </x:c>
      <x:c r="AE165" s="363" t="str">
        <x:f>IF($A165="","",(AA165+AC165)/(1-AB165))</x:f>
      </x:c>
      <x:c r="AF165" s="363"/>
      <x:c r="AG165" s="363" t="str">
        <x:f>IF($A165="","",AA165/(1-AD165))</x:f>
      </x:c>
      <x:c r="AH165" s="363"/>
      <x:c r="AI165" s="363"/>
      <x:c r="AJ165" s="363" t="str">
        <x:f>IF($A165="","",IF(AI165&gt;0,IF(E165="Salla/Zid",AI165*(1-AB165)-AC165-Y165,IF(OR(E165="HungerStation",E165="ToYou",E165="The Chefz"),AI165*(1-AD165)-Y165,AI165-Y165)),""))</x:f>
      </x:c>
      <x:c r="AK165" s="388" t="str">
        <x:f>IF($A165="","",IF(Y165&gt;0,AJ165/Y165,""))</x:f>
      </x:c>
      <x:c r="AL165" s="364"/>
      <x:c r="AM165" s="365"/>
      <x:c r="AN165" s="389"/>
    </x:row>
    <x:row r="166">
      <x:c r="A166" s="361"/>
      <x:c r="B166" s="362"/>
      <x:c r="C166" s="362"/>
      <x:c r="D166" s="362"/>
      <x:c r="E166" s="362"/>
      <x:c r="F166" s="362"/>
      <x:c r="G166" s="362"/>
      <x:c r="H166" s="362"/>
      <x:c r="I166" s="363"/>
      <x:c r="J166" s="362"/>
      <x:c r="K166" s="362"/>
      <x:c r="L166" s="363"/>
      <x:c r="M166" s="362"/>
      <x:c r="N166" s="362"/>
      <x:c r="O166" s="363"/>
      <x:c r="P166" s="362"/>
      <x:c r="Q166" s="362"/>
      <x:c r="R166" s="363"/>
      <x:c r="S166" s="362"/>
      <x:c r="T166" s="362"/>
      <x:c r="U166" s="363"/>
      <x:c r="V166" s="363" t="str">
        <x:f>IF($A166="","",SUM(I166,L166,O166,R166,U166))</x:f>
      </x:c>
      <x:c r="W166" s="363" t="str">
        <x:f>IF($A166="","",'Pricing Rules'!$B$5)</x:f>
      </x:c>
      <x:c r="X166" s="363"/>
      <x:c r="Y166" s="363" t="str">
        <x:f>IF($A166="","",SUM(V166:X166))</x:f>
      </x:c>
      <x:c r="Z166" s="363" t="str">
        <x:f>IF($A166="","",Y166*'Pricing Rules'!$B$6)</x:f>
      </x:c>
      <x:c r="AA166" s="363" t="str">
        <x:f>IF($A166="","",Y166+Z166)</x:f>
      </x:c>
      <x:c r="AB166" s="388" t="str">
        <x:f>IF($A166="","",'Pricing Rules'!$B$7)</x:f>
      </x:c>
      <x:c r="AC166" s="363" t="str">
        <x:f>IF($A166="","",'Pricing Rules'!$B$8)</x:f>
      </x:c>
      <x:c r="AD166" s="388" t="str">
        <x:f>IF($A166="","",'Pricing Rules'!$B$9)</x:f>
      </x:c>
      <x:c r="AE166" s="363" t="str">
        <x:f>IF($A166="","",(AA166+AC166)/(1-AB166))</x:f>
      </x:c>
      <x:c r="AF166" s="363"/>
      <x:c r="AG166" s="363" t="str">
        <x:f>IF($A166="","",AA166/(1-AD166))</x:f>
      </x:c>
      <x:c r="AH166" s="363"/>
      <x:c r="AI166" s="363"/>
      <x:c r="AJ166" s="363" t="str">
        <x:f>IF($A166="","",IF(AI166&gt;0,IF(E166="Salla/Zid",AI166*(1-AB166)-AC166-Y166,IF(OR(E166="HungerStation",E166="ToYou",E166="The Chefz"),AI166*(1-AD166)-Y166,AI166-Y166)),""))</x:f>
      </x:c>
      <x:c r="AK166" s="388" t="str">
        <x:f>IF($A166="","",IF(Y166&gt;0,AJ166/Y166,""))</x:f>
      </x:c>
      <x:c r="AL166" s="364"/>
      <x:c r="AM166" s="365"/>
      <x:c r="AN166" s="389"/>
    </x:row>
    <x:row r="167">
      <x:c r="A167" s="361"/>
      <x:c r="B167" s="362"/>
      <x:c r="C167" s="362"/>
      <x:c r="D167" s="362"/>
      <x:c r="E167" s="362"/>
      <x:c r="F167" s="362"/>
      <x:c r="G167" s="362"/>
      <x:c r="H167" s="362"/>
      <x:c r="I167" s="363"/>
      <x:c r="J167" s="362"/>
      <x:c r="K167" s="362"/>
      <x:c r="L167" s="363"/>
      <x:c r="M167" s="362"/>
      <x:c r="N167" s="362"/>
      <x:c r="O167" s="363"/>
      <x:c r="P167" s="362"/>
      <x:c r="Q167" s="362"/>
      <x:c r="R167" s="363"/>
      <x:c r="S167" s="362"/>
      <x:c r="T167" s="362"/>
      <x:c r="U167" s="363"/>
      <x:c r="V167" s="363" t="str">
        <x:f>IF($A167="","",SUM(I167,L167,O167,R167,U167))</x:f>
      </x:c>
      <x:c r="W167" s="363" t="str">
        <x:f>IF($A167="","",'Pricing Rules'!$B$5)</x:f>
      </x:c>
      <x:c r="X167" s="363"/>
      <x:c r="Y167" s="363" t="str">
        <x:f>IF($A167="","",SUM(V167:X167))</x:f>
      </x:c>
      <x:c r="Z167" s="363" t="str">
        <x:f>IF($A167="","",Y167*'Pricing Rules'!$B$6)</x:f>
      </x:c>
      <x:c r="AA167" s="363" t="str">
        <x:f>IF($A167="","",Y167+Z167)</x:f>
      </x:c>
      <x:c r="AB167" s="388" t="str">
        <x:f>IF($A167="","",'Pricing Rules'!$B$7)</x:f>
      </x:c>
      <x:c r="AC167" s="363" t="str">
        <x:f>IF($A167="","",'Pricing Rules'!$B$8)</x:f>
      </x:c>
      <x:c r="AD167" s="388" t="str">
        <x:f>IF($A167="","",'Pricing Rules'!$B$9)</x:f>
      </x:c>
      <x:c r="AE167" s="363" t="str">
        <x:f>IF($A167="","",(AA167+AC167)/(1-AB167))</x:f>
      </x:c>
      <x:c r="AF167" s="363"/>
      <x:c r="AG167" s="363" t="str">
        <x:f>IF($A167="","",AA167/(1-AD167))</x:f>
      </x:c>
      <x:c r="AH167" s="363"/>
      <x:c r="AI167" s="363"/>
      <x:c r="AJ167" s="363" t="str">
        <x:f>IF($A167="","",IF(AI167&gt;0,IF(E167="Salla/Zid",AI167*(1-AB167)-AC167-Y167,IF(OR(E167="HungerStation",E167="ToYou",E167="The Chefz"),AI167*(1-AD167)-Y167,AI167-Y167)),""))</x:f>
      </x:c>
      <x:c r="AK167" s="388" t="str">
        <x:f>IF($A167="","",IF(Y167&gt;0,AJ167/Y167,""))</x:f>
      </x:c>
      <x:c r="AL167" s="364"/>
      <x:c r="AM167" s="365"/>
      <x:c r="AN167" s="389"/>
    </x:row>
    <x:row r="168">
      <x:c r="A168" s="361"/>
      <x:c r="B168" s="362"/>
      <x:c r="C168" s="362"/>
      <x:c r="D168" s="362"/>
      <x:c r="E168" s="362"/>
      <x:c r="F168" s="362"/>
      <x:c r="G168" s="362"/>
      <x:c r="H168" s="362"/>
      <x:c r="I168" s="363"/>
      <x:c r="J168" s="362"/>
      <x:c r="K168" s="362"/>
      <x:c r="L168" s="363"/>
      <x:c r="M168" s="362"/>
      <x:c r="N168" s="362"/>
      <x:c r="O168" s="363"/>
      <x:c r="P168" s="362"/>
      <x:c r="Q168" s="362"/>
      <x:c r="R168" s="363"/>
      <x:c r="S168" s="362"/>
      <x:c r="T168" s="362"/>
      <x:c r="U168" s="363"/>
      <x:c r="V168" s="363" t="str">
        <x:f>IF($A168="","",SUM(I168,L168,O168,R168,U168))</x:f>
      </x:c>
      <x:c r="W168" s="363" t="str">
        <x:f>IF($A168="","",'Pricing Rules'!$B$5)</x:f>
      </x:c>
      <x:c r="X168" s="363"/>
      <x:c r="Y168" s="363" t="str">
        <x:f>IF($A168="","",SUM(V168:X168))</x:f>
      </x:c>
      <x:c r="Z168" s="363" t="str">
        <x:f>IF($A168="","",Y168*'Pricing Rules'!$B$6)</x:f>
      </x:c>
      <x:c r="AA168" s="363" t="str">
        <x:f>IF($A168="","",Y168+Z168)</x:f>
      </x:c>
      <x:c r="AB168" s="388" t="str">
        <x:f>IF($A168="","",'Pricing Rules'!$B$7)</x:f>
      </x:c>
      <x:c r="AC168" s="363" t="str">
        <x:f>IF($A168="","",'Pricing Rules'!$B$8)</x:f>
      </x:c>
      <x:c r="AD168" s="388" t="str">
        <x:f>IF($A168="","",'Pricing Rules'!$B$9)</x:f>
      </x:c>
      <x:c r="AE168" s="363" t="str">
        <x:f>IF($A168="","",(AA168+AC168)/(1-AB168))</x:f>
      </x:c>
      <x:c r="AF168" s="363"/>
      <x:c r="AG168" s="363" t="str">
        <x:f>IF($A168="","",AA168/(1-AD168))</x:f>
      </x:c>
      <x:c r="AH168" s="363"/>
      <x:c r="AI168" s="363"/>
      <x:c r="AJ168" s="363" t="str">
        <x:f>IF($A168="","",IF(AI168&gt;0,IF(E168="Salla/Zid",AI168*(1-AB168)-AC168-Y168,IF(OR(E168="HungerStation",E168="ToYou",E168="The Chefz"),AI168*(1-AD168)-Y168,AI168-Y168)),""))</x:f>
      </x:c>
      <x:c r="AK168" s="388" t="str">
        <x:f>IF($A168="","",IF(Y168&gt;0,AJ168/Y168,""))</x:f>
      </x:c>
      <x:c r="AL168" s="364"/>
      <x:c r="AM168" s="365"/>
      <x:c r="AN168" s="389"/>
    </x:row>
    <x:row r="169">
      <x:c r="A169" s="361"/>
      <x:c r="B169" s="362"/>
      <x:c r="C169" s="362"/>
      <x:c r="D169" s="362"/>
      <x:c r="E169" s="362"/>
      <x:c r="F169" s="362"/>
      <x:c r="G169" s="362"/>
      <x:c r="H169" s="362"/>
      <x:c r="I169" s="363"/>
      <x:c r="J169" s="362"/>
      <x:c r="K169" s="362"/>
      <x:c r="L169" s="363"/>
      <x:c r="M169" s="362"/>
      <x:c r="N169" s="362"/>
      <x:c r="O169" s="363"/>
      <x:c r="P169" s="362"/>
      <x:c r="Q169" s="362"/>
      <x:c r="R169" s="363"/>
      <x:c r="S169" s="362"/>
      <x:c r="T169" s="362"/>
      <x:c r="U169" s="363"/>
      <x:c r="V169" s="363" t="str">
        <x:f>IF($A169="","",SUM(I169,L169,O169,R169,U169))</x:f>
      </x:c>
      <x:c r="W169" s="363" t="str">
        <x:f>IF($A169="","",'Pricing Rules'!$B$5)</x:f>
      </x:c>
      <x:c r="X169" s="363"/>
      <x:c r="Y169" s="363" t="str">
        <x:f>IF($A169="","",SUM(V169:X169))</x:f>
      </x:c>
      <x:c r="Z169" s="363" t="str">
        <x:f>IF($A169="","",Y169*'Pricing Rules'!$B$6)</x:f>
      </x:c>
      <x:c r="AA169" s="363" t="str">
        <x:f>IF($A169="","",Y169+Z169)</x:f>
      </x:c>
      <x:c r="AB169" s="388" t="str">
        <x:f>IF($A169="","",'Pricing Rules'!$B$7)</x:f>
      </x:c>
      <x:c r="AC169" s="363" t="str">
        <x:f>IF($A169="","",'Pricing Rules'!$B$8)</x:f>
      </x:c>
      <x:c r="AD169" s="388" t="str">
        <x:f>IF($A169="","",'Pricing Rules'!$B$9)</x:f>
      </x:c>
      <x:c r="AE169" s="363" t="str">
        <x:f>IF($A169="","",(AA169+AC169)/(1-AB169))</x:f>
      </x:c>
      <x:c r="AF169" s="363"/>
      <x:c r="AG169" s="363" t="str">
        <x:f>IF($A169="","",AA169/(1-AD169))</x:f>
      </x:c>
      <x:c r="AH169" s="363"/>
      <x:c r="AI169" s="363"/>
      <x:c r="AJ169" s="363" t="str">
        <x:f>IF($A169="","",IF(AI169&gt;0,IF(E169="Salla/Zid",AI169*(1-AB169)-AC169-Y169,IF(OR(E169="HungerStation",E169="ToYou",E169="The Chefz"),AI169*(1-AD169)-Y169,AI169-Y169)),""))</x:f>
      </x:c>
      <x:c r="AK169" s="388" t="str">
        <x:f>IF($A169="","",IF(Y169&gt;0,AJ169/Y169,""))</x:f>
      </x:c>
      <x:c r="AL169" s="364"/>
      <x:c r="AM169" s="365"/>
      <x:c r="AN169" s="389"/>
    </x:row>
    <x:row r="170">
      <x:c r="A170" s="361"/>
      <x:c r="B170" s="362"/>
      <x:c r="C170" s="362"/>
      <x:c r="D170" s="362"/>
      <x:c r="E170" s="362"/>
      <x:c r="F170" s="362"/>
      <x:c r="G170" s="362"/>
      <x:c r="H170" s="362"/>
      <x:c r="I170" s="363"/>
      <x:c r="J170" s="362"/>
      <x:c r="K170" s="362"/>
      <x:c r="L170" s="363"/>
      <x:c r="M170" s="362"/>
      <x:c r="N170" s="362"/>
      <x:c r="O170" s="363"/>
      <x:c r="P170" s="362"/>
      <x:c r="Q170" s="362"/>
      <x:c r="R170" s="363"/>
      <x:c r="S170" s="362"/>
      <x:c r="T170" s="362"/>
      <x:c r="U170" s="363"/>
      <x:c r="V170" s="363" t="str">
        <x:f>IF($A170="","",SUM(I170,L170,O170,R170,U170))</x:f>
      </x:c>
      <x:c r="W170" s="363" t="str">
        <x:f>IF($A170="","",'Pricing Rules'!$B$5)</x:f>
      </x:c>
      <x:c r="X170" s="363"/>
      <x:c r="Y170" s="363" t="str">
        <x:f>IF($A170="","",SUM(V170:X170))</x:f>
      </x:c>
      <x:c r="Z170" s="363" t="str">
        <x:f>IF($A170="","",Y170*'Pricing Rules'!$B$6)</x:f>
      </x:c>
      <x:c r="AA170" s="363" t="str">
        <x:f>IF($A170="","",Y170+Z170)</x:f>
      </x:c>
      <x:c r="AB170" s="388" t="str">
        <x:f>IF($A170="","",'Pricing Rules'!$B$7)</x:f>
      </x:c>
      <x:c r="AC170" s="363" t="str">
        <x:f>IF($A170="","",'Pricing Rules'!$B$8)</x:f>
      </x:c>
      <x:c r="AD170" s="388" t="str">
        <x:f>IF($A170="","",'Pricing Rules'!$B$9)</x:f>
      </x:c>
      <x:c r="AE170" s="363" t="str">
        <x:f>IF($A170="","",(AA170+AC170)/(1-AB170))</x:f>
      </x:c>
      <x:c r="AF170" s="363"/>
      <x:c r="AG170" s="363" t="str">
        <x:f>IF($A170="","",AA170/(1-AD170))</x:f>
      </x:c>
      <x:c r="AH170" s="363"/>
      <x:c r="AI170" s="363"/>
      <x:c r="AJ170" s="363" t="str">
        <x:f>IF($A170="","",IF(AI170&gt;0,IF(E170="Salla/Zid",AI170*(1-AB170)-AC170-Y170,IF(OR(E170="HungerStation",E170="ToYou",E170="The Chefz"),AI170*(1-AD170)-Y170,AI170-Y170)),""))</x:f>
      </x:c>
      <x:c r="AK170" s="388" t="str">
        <x:f>IF($A170="","",IF(Y170&gt;0,AJ170/Y170,""))</x:f>
      </x:c>
      <x:c r="AL170" s="364"/>
      <x:c r="AM170" s="365"/>
      <x:c r="AN170" s="389"/>
    </x:row>
    <x:row r="171">
      <x:c r="A171" s="361"/>
      <x:c r="B171" s="362"/>
      <x:c r="C171" s="362"/>
      <x:c r="D171" s="362"/>
      <x:c r="E171" s="362"/>
      <x:c r="F171" s="362"/>
      <x:c r="G171" s="362"/>
      <x:c r="H171" s="362"/>
      <x:c r="I171" s="363"/>
      <x:c r="J171" s="362"/>
      <x:c r="K171" s="362"/>
      <x:c r="L171" s="363"/>
      <x:c r="M171" s="362"/>
      <x:c r="N171" s="362"/>
      <x:c r="O171" s="363"/>
      <x:c r="P171" s="362"/>
      <x:c r="Q171" s="362"/>
      <x:c r="R171" s="363"/>
      <x:c r="S171" s="362"/>
      <x:c r="T171" s="362"/>
      <x:c r="U171" s="363"/>
      <x:c r="V171" s="363" t="str">
        <x:f>IF($A171="","",SUM(I171,L171,O171,R171,U171))</x:f>
      </x:c>
      <x:c r="W171" s="363" t="str">
        <x:f>IF($A171="","",'Pricing Rules'!$B$5)</x:f>
      </x:c>
      <x:c r="X171" s="363"/>
      <x:c r="Y171" s="363" t="str">
        <x:f>IF($A171="","",SUM(V171:X171))</x:f>
      </x:c>
      <x:c r="Z171" s="363" t="str">
        <x:f>IF($A171="","",Y171*'Pricing Rules'!$B$6)</x:f>
      </x:c>
      <x:c r="AA171" s="363" t="str">
        <x:f>IF($A171="","",Y171+Z171)</x:f>
      </x:c>
      <x:c r="AB171" s="388" t="str">
        <x:f>IF($A171="","",'Pricing Rules'!$B$7)</x:f>
      </x:c>
      <x:c r="AC171" s="363" t="str">
        <x:f>IF($A171="","",'Pricing Rules'!$B$8)</x:f>
      </x:c>
      <x:c r="AD171" s="388" t="str">
        <x:f>IF($A171="","",'Pricing Rules'!$B$9)</x:f>
      </x:c>
      <x:c r="AE171" s="363" t="str">
        <x:f>IF($A171="","",(AA171+AC171)/(1-AB171))</x:f>
      </x:c>
      <x:c r="AF171" s="363"/>
      <x:c r="AG171" s="363" t="str">
        <x:f>IF($A171="","",AA171/(1-AD171))</x:f>
      </x:c>
      <x:c r="AH171" s="363"/>
      <x:c r="AI171" s="363"/>
      <x:c r="AJ171" s="363" t="str">
        <x:f>IF($A171="","",IF(AI171&gt;0,IF(E171="Salla/Zid",AI171*(1-AB171)-AC171-Y171,IF(OR(E171="HungerStation",E171="ToYou",E171="The Chefz"),AI171*(1-AD171)-Y171,AI171-Y171)),""))</x:f>
      </x:c>
      <x:c r="AK171" s="388" t="str">
        <x:f>IF($A171="","",IF(Y171&gt;0,AJ171/Y171,""))</x:f>
      </x:c>
      <x:c r="AL171" s="364"/>
      <x:c r="AM171" s="365"/>
      <x:c r="AN171" s="389"/>
    </x:row>
    <x:row r="172">
      <x:c r="A172" s="361"/>
      <x:c r="B172" s="362"/>
      <x:c r="C172" s="362"/>
      <x:c r="D172" s="362"/>
      <x:c r="E172" s="362"/>
      <x:c r="F172" s="362"/>
      <x:c r="G172" s="362"/>
      <x:c r="H172" s="362"/>
      <x:c r="I172" s="363"/>
      <x:c r="J172" s="362"/>
      <x:c r="K172" s="362"/>
      <x:c r="L172" s="363"/>
      <x:c r="M172" s="362"/>
      <x:c r="N172" s="362"/>
      <x:c r="O172" s="363"/>
      <x:c r="P172" s="362"/>
      <x:c r="Q172" s="362"/>
      <x:c r="R172" s="363"/>
      <x:c r="S172" s="362"/>
      <x:c r="T172" s="362"/>
      <x:c r="U172" s="363"/>
      <x:c r="V172" s="363" t="str">
        <x:f>IF($A172="","",SUM(I172,L172,O172,R172,U172))</x:f>
      </x:c>
      <x:c r="W172" s="363" t="str">
        <x:f>IF($A172="","",'Pricing Rules'!$B$5)</x:f>
      </x:c>
      <x:c r="X172" s="363"/>
      <x:c r="Y172" s="363" t="str">
        <x:f>IF($A172="","",SUM(V172:X172))</x:f>
      </x:c>
      <x:c r="Z172" s="363" t="str">
        <x:f>IF($A172="","",Y172*'Pricing Rules'!$B$6)</x:f>
      </x:c>
      <x:c r="AA172" s="363" t="str">
        <x:f>IF($A172="","",Y172+Z172)</x:f>
      </x:c>
      <x:c r="AB172" s="388" t="str">
        <x:f>IF($A172="","",'Pricing Rules'!$B$7)</x:f>
      </x:c>
      <x:c r="AC172" s="363" t="str">
        <x:f>IF($A172="","",'Pricing Rules'!$B$8)</x:f>
      </x:c>
      <x:c r="AD172" s="388" t="str">
        <x:f>IF($A172="","",'Pricing Rules'!$B$9)</x:f>
      </x:c>
      <x:c r="AE172" s="363" t="str">
        <x:f>IF($A172="","",(AA172+AC172)/(1-AB172))</x:f>
      </x:c>
      <x:c r="AF172" s="363"/>
      <x:c r="AG172" s="363" t="str">
        <x:f>IF($A172="","",AA172/(1-AD172))</x:f>
      </x:c>
      <x:c r="AH172" s="363"/>
      <x:c r="AI172" s="363"/>
      <x:c r="AJ172" s="363" t="str">
        <x:f>IF($A172="","",IF(AI172&gt;0,IF(E172="Salla/Zid",AI172*(1-AB172)-AC172-Y172,IF(OR(E172="HungerStation",E172="ToYou",E172="The Chefz"),AI172*(1-AD172)-Y172,AI172-Y172)),""))</x:f>
      </x:c>
      <x:c r="AK172" s="388" t="str">
        <x:f>IF($A172="","",IF(Y172&gt;0,AJ172/Y172,""))</x:f>
      </x:c>
      <x:c r="AL172" s="364"/>
      <x:c r="AM172" s="365"/>
      <x:c r="AN172" s="389"/>
    </x:row>
    <x:row r="173">
      <x:c r="A173" s="361"/>
      <x:c r="B173" s="362"/>
      <x:c r="C173" s="362"/>
      <x:c r="D173" s="362"/>
      <x:c r="E173" s="362"/>
      <x:c r="F173" s="362"/>
      <x:c r="G173" s="362"/>
      <x:c r="H173" s="362"/>
      <x:c r="I173" s="363"/>
      <x:c r="J173" s="362"/>
      <x:c r="K173" s="362"/>
      <x:c r="L173" s="363"/>
      <x:c r="M173" s="362"/>
      <x:c r="N173" s="362"/>
      <x:c r="O173" s="363"/>
      <x:c r="P173" s="362"/>
      <x:c r="Q173" s="362"/>
      <x:c r="R173" s="363"/>
      <x:c r="S173" s="362"/>
      <x:c r="T173" s="362"/>
      <x:c r="U173" s="363"/>
      <x:c r="V173" s="363" t="str">
        <x:f>IF($A173="","",SUM(I173,L173,O173,R173,U173))</x:f>
      </x:c>
      <x:c r="W173" s="363" t="str">
        <x:f>IF($A173="","",'Pricing Rules'!$B$5)</x:f>
      </x:c>
      <x:c r="X173" s="363"/>
      <x:c r="Y173" s="363" t="str">
        <x:f>IF($A173="","",SUM(V173:X173))</x:f>
      </x:c>
      <x:c r="Z173" s="363" t="str">
        <x:f>IF($A173="","",Y173*'Pricing Rules'!$B$6)</x:f>
      </x:c>
      <x:c r="AA173" s="363" t="str">
        <x:f>IF($A173="","",Y173+Z173)</x:f>
      </x:c>
      <x:c r="AB173" s="388" t="str">
        <x:f>IF($A173="","",'Pricing Rules'!$B$7)</x:f>
      </x:c>
      <x:c r="AC173" s="363" t="str">
        <x:f>IF($A173="","",'Pricing Rules'!$B$8)</x:f>
      </x:c>
      <x:c r="AD173" s="388" t="str">
        <x:f>IF($A173="","",'Pricing Rules'!$B$9)</x:f>
      </x:c>
      <x:c r="AE173" s="363" t="str">
        <x:f>IF($A173="","",(AA173+AC173)/(1-AB173))</x:f>
      </x:c>
      <x:c r="AF173" s="363"/>
      <x:c r="AG173" s="363" t="str">
        <x:f>IF($A173="","",AA173/(1-AD173))</x:f>
      </x:c>
      <x:c r="AH173" s="363"/>
      <x:c r="AI173" s="363"/>
      <x:c r="AJ173" s="363" t="str">
        <x:f>IF($A173="","",IF(AI173&gt;0,IF(E173="Salla/Zid",AI173*(1-AB173)-AC173-Y173,IF(OR(E173="HungerStation",E173="ToYou",E173="The Chefz"),AI173*(1-AD173)-Y173,AI173-Y173)),""))</x:f>
      </x:c>
      <x:c r="AK173" s="388" t="str">
        <x:f>IF($A173="","",IF(Y173&gt;0,AJ173/Y173,""))</x:f>
      </x:c>
      <x:c r="AL173" s="364"/>
      <x:c r="AM173" s="365"/>
      <x:c r="AN173" s="389"/>
    </x:row>
    <x:row r="174">
      <x:c r="A174" s="361"/>
      <x:c r="B174" s="362"/>
      <x:c r="C174" s="362"/>
      <x:c r="D174" s="362"/>
      <x:c r="E174" s="362"/>
      <x:c r="F174" s="362"/>
      <x:c r="G174" s="362"/>
      <x:c r="H174" s="362"/>
      <x:c r="I174" s="363"/>
      <x:c r="J174" s="362"/>
      <x:c r="K174" s="362"/>
      <x:c r="L174" s="363"/>
      <x:c r="M174" s="362"/>
      <x:c r="N174" s="362"/>
      <x:c r="O174" s="363"/>
      <x:c r="P174" s="362"/>
      <x:c r="Q174" s="362"/>
      <x:c r="R174" s="363"/>
      <x:c r="S174" s="362"/>
      <x:c r="T174" s="362"/>
      <x:c r="U174" s="363"/>
      <x:c r="V174" s="363" t="str">
        <x:f>IF($A174="","",SUM(I174,L174,O174,R174,U174))</x:f>
      </x:c>
      <x:c r="W174" s="363" t="str">
        <x:f>IF($A174="","",'Pricing Rules'!$B$5)</x:f>
      </x:c>
      <x:c r="X174" s="363"/>
      <x:c r="Y174" s="363" t="str">
        <x:f>IF($A174="","",SUM(V174:X174))</x:f>
      </x:c>
      <x:c r="Z174" s="363" t="str">
        <x:f>IF($A174="","",Y174*'Pricing Rules'!$B$6)</x:f>
      </x:c>
      <x:c r="AA174" s="363" t="str">
        <x:f>IF($A174="","",Y174+Z174)</x:f>
      </x:c>
      <x:c r="AB174" s="388" t="str">
        <x:f>IF($A174="","",'Pricing Rules'!$B$7)</x:f>
      </x:c>
      <x:c r="AC174" s="363" t="str">
        <x:f>IF($A174="","",'Pricing Rules'!$B$8)</x:f>
      </x:c>
      <x:c r="AD174" s="388" t="str">
        <x:f>IF($A174="","",'Pricing Rules'!$B$9)</x:f>
      </x:c>
      <x:c r="AE174" s="363" t="str">
        <x:f>IF($A174="","",(AA174+AC174)/(1-AB174))</x:f>
      </x:c>
      <x:c r="AF174" s="363"/>
      <x:c r="AG174" s="363" t="str">
        <x:f>IF($A174="","",AA174/(1-AD174))</x:f>
      </x:c>
      <x:c r="AH174" s="363"/>
      <x:c r="AI174" s="363"/>
      <x:c r="AJ174" s="363" t="str">
        <x:f>IF($A174="","",IF(AI174&gt;0,IF(E174="Salla/Zid",AI174*(1-AB174)-AC174-Y174,IF(OR(E174="HungerStation",E174="ToYou",E174="The Chefz"),AI174*(1-AD174)-Y174,AI174-Y174)),""))</x:f>
      </x:c>
      <x:c r="AK174" s="388" t="str">
        <x:f>IF($A174="","",IF(Y174&gt;0,AJ174/Y174,""))</x:f>
      </x:c>
      <x:c r="AL174" s="364"/>
      <x:c r="AM174" s="365"/>
      <x:c r="AN174" s="389"/>
    </x:row>
    <x:row r="175">
      <x:c r="A175" s="361"/>
      <x:c r="B175" s="362"/>
      <x:c r="C175" s="362"/>
      <x:c r="D175" s="362"/>
      <x:c r="E175" s="362"/>
      <x:c r="F175" s="362"/>
      <x:c r="G175" s="362"/>
      <x:c r="H175" s="362"/>
      <x:c r="I175" s="363"/>
      <x:c r="J175" s="362"/>
      <x:c r="K175" s="362"/>
      <x:c r="L175" s="363"/>
      <x:c r="M175" s="362"/>
      <x:c r="N175" s="362"/>
      <x:c r="O175" s="363"/>
      <x:c r="P175" s="362"/>
      <x:c r="Q175" s="362"/>
      <x:c r="R175" s="363"/>
      <x:c r="S175" s="362"/>
      <x:c r="T175" s="362"/>
      <x:c r="U175" s="363"/>
      <x:c r="V175" s="363" t="str">
        <x:f>IF($A175="","",SUM(I175,L175,O175,R175,U175))</x:f>
      </x:c>
      <x:c r="W175" s="363" t="str">
        <x:f>IF($A175="","",'Pricing Rules'!$B$5)</x:f>
      </x:c>
      <x:c r="X175" s="363"/>
      <x:c r="Y175" s="363" t="str">
        <x:f>IF($A175="","",SUM(V175:X175))</x:f>
      </x:c>
      <x:c r="Z175" s="363" t="str">
        <x:f>IF($A175="","",Y175*'Pricing Rules'!$B$6)</x:f>
      </x:c>
      <x:c r="AA175" s="363" t="str">
        <x:f>IF($A175="","",Y175+Z175)</x:f>
      </x:c>
      <x:c r="AB175" s="388" t="str">
        <x:f>IF($A175="","",'Pricing Rules'!$B$7)</x:f>
      </x:c>
      <x:c r="AC175" s="363" t="str">
        <x:f>IF($A175="","",'Pricing Rules'!$B$8)</x:f>
      </x:c>
      <x:c r="AD175" s="388" t="str">
        <x:f>IF($A175="","",'Pricing Rules'!$B$9)</x:f>
      </x:c>
      <x:c r="AE175" s="363" t="str">
        <x:f>IF($A175="","",(AA175+AC175)/(1-AB175))</x:f>
      </x:c>
      <x:c r="AF175" s="363"/>
      <x:c r="AG175" s="363" t="str">
        <x:f>IF($A175="","",AA175/(1-AD175))</x:f>
      </x:c>
      <x:c r="AH175" s="363"/>
      <x:c r="AI175" s="363"/>
      <x:c r="AJ175" s="363" t="str">
        <x:f>IF($A175="","",IF(AI175&gt;0,IF(E175="Salla/Zid",AI175*(1-AB175)-AC175-Y175,IF(OR(E175="HungerStation",E175="ToYou",E175="The Chefz"),AI175*(1-AD175)-Y175,AI175-Y175)),""))</x:f>
      </x:c>
      <x:c r="AK175" s="388" t="str">
        <x:f>IF($A175="","",IF(Y175&gt;0,AJ175/Y175,""))</x:f>
      </x:c>
      <x:c r="AL175" s="364"/>
      <x:c r="AM175" s="365"/>
      <x:c r="AN175" s="389"/>
    </x:row>
    <x:row r="176">
      <x:c r="A176" s="361"/>
      <x:c r="B176" s="362"/>
      <x:c r="C176" s="362"/>
      <x:c r="D176" s="362"/>
      <x:c r="E176" s="362"/>
      <x:c r="F176" s="362"/>
      <x:c r="G176" s="362"/>
      <x:c r="H176" s="362"/>
      <x:c r="I176" s="363"/>
      <x:c r="J176" s="362"/>
      <x:c r="K176" s="362"/>
      <x:c r="L176" s="363"/>
      <x:c r="M176" s="362"/>
      <x:c r="N176" s="362"/>
      <x:c r="O176" s="363"/>
      <x:c r="P176" s="362"/>
      <x:c r="Q176" s="362"/>
      <x:c r="R176" s="363"/>
      <x:c r="S176" s="362"/>
      <x:c r="T176" s="362"/>
      <x:c r="U176" s="363"/>
      <x:c r="V176" s="363" t="str">
        <x:f>IF($A176="","",SUM(I176,L176,O176,R176,U176))</x:f>
      </x:c>
      <x:c r="W176" s="363" t="str">
        <x:f>IF($A176="","",'Pricing Rules'!$B$5)</x:f>
      </x:c>
      <x:c r="X176" s="363"/>
      <x:c r="Y176" s="363" t="str">
        <x:f>IF($A176="","",SUM(V176:X176))</x:f>
      </x:c>
      <x:c r="Z176" s="363" t="str">
        <x:f>IF($A176="","",Y176*'Pricing Rules'!$B$6)</x:f>
      </x:c>
      <x:c r="AA176" s="363" t="str">
        <x:f>IF($A176="","",Y176+Z176)</x:f>
      </x:c>
      <x:c r="AB176" s="388" t="str">
        <x:f>IF($A176="","",'Pricing Rules'!$B$7)</x:f>
      </x:c>
      <x:c r="AC176" s="363" t="str">
        <x:f>IF($A176="","",'Pricing Rules'!$B$8)</x:f>
      </x:c>
      <x:c r="AD176" s="388" t="str">
        <x:f>IF($A176="","",'Pricing Rules'!$B$9)</x:f>
      </x:c>
      <x:c r="AE176" s="363" t="str">
        <x:f>IF($A176="","",(AA176+AC176)/(1-AB176))</x:f>
      </x:c>
      <x:c r="AF176" s="363"/>
      <x:c r="AG176" s="363" t="str">
        <x:f>IF($A176="","",AA176/(1-AD176))</x:f>
      </x:c>
      <x:c r="AH176" s="363"/>
      <x:c r="AI176" s="363"/>
      <x:c r="AJ176" s="363" t="str">
        <x:f>IF($A176="","",IF(AI176&gt;0,IF(E176="Salla/Zid",AI176*(1-AB176)-AC176-Y176,IF(OR(E176="HungerStation",E176="ToYou",E176="The Chefz"),AI176*(1-AD176)-Y176,AI176-Y176)),""))</x:f>
      </x:c>
      <x:c r="AK176" s="388" t="str">
        <x:f>IF($A176="","",IF(Y176&gt;0,AJ176/Y176,""))</x:f>
      </x:c>
      <x:c r="AL176" s="364"/>
      <x:c r="AM176" s="365"/>
      <x:c r="AN176" s="389"/>
    </x:row>
    <x:row r="177">
      <x:c r="A177" s="361"/>
      <x:c r="B177" s="362"/>
      <x:c r="C177" s="362"/>
      <x:c r="D177" s="362"/>
      <x:c r="E177" s="362"/>
      <x:c r="F177" s="362"/>
      <x:c r="G177" s="362"/>
      <x:c r="H177" s="362"/>
      <x:c r="I177" s="363"/>
      <x:c r="J177" s="362"/>
      <x:c r="K177" s="362"/>
      <x:c r="L177" s="363"/>
      <x:c r="M177" s="362"/>
      <x:c r="N177" s="362"/>
      <x:c r="O177" s="363"/>
      <x:c r="P177" s="362"/>
      <x:c r="Q177" s="362"/>
      <x:c r="R177" s="363"/>
      <x:c r="S177" s="362"/>
      <x:c r="T177" s="362"/>
      <x:c r="U177" s="363"/>
      <x:c r="V177" s="363" t="str">
        <x:f>IF($A177="","",SUM(I177,L177,O177,R177,U177))</x:f>
      </x:c>
      <x:c r="W177" s="363" t="str">
        <x:f>IF($A177="","",'Pricing Rules'!$B$5)</x:f>
      </x:c>
      <x:c r="X177" s="363"/>
      <x:c r="Y177" s="363" t="str">
        <x:f>IF($A177="","",SUM(V177:X177))</x:f>
      </x:c>
      <x:c r="Z177" s="363" t="str">
        <x:f>IF($A177="","",Y177*'Pricing Rules'!$B$6)</x:f>
      </x:c>
      <x:c r="AA177" s="363" t="str">
        <x:f>IF($A177="","",Y177+Z177)</x:f>
      </x:c>
      <x:c r="AB177" s="388" t="str">
        <x:f>IF($A177="","",'Pricing Rules'!$B$7)</x:f>
      </x:c>
      <x:c r="AC177" s="363" t="str">
        <x:f>IF($A177="","",'Pricing Rules'!$B$8)</x:f>
      </x:c>
      <x:c r="AD177" s="388" t="str">
        <x:f>IF($A177="","",'Pricing Rules'!$B$9)</x:f>
      </x:c>
      <x:c r="AE177" s="363" t="str">
        <x:f>IF($A177="","",(AA177+AC177)/(1-AB177))</x:f>
      </x:c>
      <x:c r="AF177" s="363"/>
      <x:c r="AG177" s="363" t="str">
        <x:f>IF($A177="","",AA177/(1-AD177))</x:f>
      </x:c>
      <x:c r="AH177" s="363"/>
      <x:c r="AI177" s="363"/>
      <x:c r="AJ177" s="363" t="str">
        <x:f>IF($A177="","",IF(AI177&gt;0,IF(E177="Salla/Zid",AI177*(1-AB177)-AC177-Y177,IF(OR(E177="HungerStation",E177="ToYou",E177="The Chefz"),AI177*(1-AD177)-Y177,AI177-Y177)),""))</x:f>
      </x:c>
      <x:c r="AK177" s="388" t="str">
        <x:f>IF($A177="","",IF(Y177&gt;0,AJ177/Y177,""))</x:f>
      </x:c>
      <x:c r="AL177" s="364"/>
      <x:c r="AM177" s="365"/>
      <x:c r="AN177" s="389"/>
    </x:row>
    <x:row r="178">
      <x:c r="A178" s="361"/>
      <x:c r="B178" s="362"/>
      <x:c r="C178" s="362"/>
      <x:c r="D178" s="362"/>
      <x:c r="E178" s="362"/>
      <x:c r="F178" s="362"/>
      <x:c r="G178" s="362"/>
      <x:c r="H178" s="362"/>
      <x:c r="I178" s="363"/>
      <x:c r="J178" s="362"/>
      <x:c r="K178" s="362"/>
      <x:c r="L178" s="363"/>
      <x:c r="M178" s="362"/>
      <x:c r="N178" s="362"/>
      <x:c r="O178" s="363"/>
      <x:c r="P178" s="362"/>
      <x:c r="Q178" s="362"/>
      <x:c r="R178" s="363"/>
      <x:c r="S178" s="362"/>
      <x:c r="T178" s="362"/>
      <x:c r="U178" s="363"/>
      <x:c r="V178" s="363" t="str">
        <x:f>IF($A178="","",SUM(I178,L178,O178,R178,U178))</x:f>
      </x:c>
      <x:c r="W178" s="363" t="str">
        <x:f>IF($A178="","",'Pricing Rules'!$B$5)</x:f>
      </x:c>
      <x:c r="X178" s="363"/>
      <x:c r="Y178" s="363" t="str">
        <x:f>IF($A178="","",SUM(V178:X178))</x:f>
      </x:c>
      <x:c r="Z178" s="363" t="str">
        <x:f>IF($A178="","",Y178*'Pricing Rules'!$B$6)</x:f>
      </x:c>
      <x:c r="AA178" s="363" t="str">
        <x:f>IF($A178="","",Y178+Z178)</x:f>
      </x:c>
      <x:c r="AB178" s="388" t="str">
        <x:f>IF($A178="","",'Pricing Rules'!$B$7)</x:f>
      </x:c>
      <x:c r="AC178" s="363" t="str">
        <x:f>IF($A178="","",'Pricing Rules'!$B$8)</x:f>
      </x:c>
      <x:c r="AD178" s="388" t="str">
        <x:f>IF($A178="","",'Pricing Rules'!$B$9)</x:f>
      </x:c>
      <x:c r="AE178" s="363" t="str">
        <x:f>IF($A178="","",(AA178+AC178)/(1-AB178))</x:f>
      </x:c>
      <x:c r="AF178" s="363"/>
      <x:c r="AG178" s="363" t="str">
        <x:f>IF($A178="","",AA178/(1-AD178))</x:f>
      </x:c>
      <x:c r="AH178" s="363"/>
      <x:c r="AI178" s="363"/>
      <x:c r="AJ178" s="363" t="str">
        <x:f>IF($A178="","",IF(AI178&gt;0,IF(E178="Salla/Zid",AI178*(1-AB178)-AC178-Y178,IF(OR(E178="HungerStation",E178="ToYou",E178="The Chefz"),AI178*(1-AD178)-Y178,AI178-Y178)),""))</x:f>
      </x:c>
      <x:c r="AK178" s="388" t="str">
        <x:f>IF($A178="","",IF(Y178&gt;0,AJ178/Y178,""))</x:f>
      </x:c>
      <x:c r="AL178" s="364"/>
      <x:c r="AM178" s="365"/>
      <x:c r="AN178" s="389"/>
    </x:row>
    <x:row r="179">
      <x:c r="A179" s="361"/>
      <x:c r="B179" s="362"/>
      <x:c r="C179" s="362"/>
      <x:c r="D179" s="362"/>
      <x:c r="E179" s="362"/>
      <x:c r="F179" s="362"/>
      <x:c r="G179" s="362"/>
      <x:c r="H179" s="362"/>
      <x:c r="I179" s="363"/>
      <x:c r="J179" s="362"/>
      <x:c r="K179" s="362"/>
      <x:c r="L179" s="363"/>
      <x:c r="M179" s="362"/>
      <x:c r="N179" s="362"/>
      <x:c r="O179" s="363"/>
      <x:c r="P179" s="362"/>
      <x:c r="Q179" s="362"/>
      <x:c r="R179" s="363"/>
      <x:c r="S179" s="362"/>
      <x:c r="T179" s="362"/>
      <x:c r="U179" s="363"/>
      <x:c r="V179" s="363" t="str">
        <x:f>IF($A179="","",SUM(I179,L179,O179,R179,U179))</x:f>
      </x:c>
      <x:c r="W179" s="363" t="str">
        <x:f>IF($A179="","",'Pricing Rules'!$B$5)</x:f>
      </x:c>
      <x:c r="X179" s="363"/>
      <x:c r="Y179" s="363" t="str">
        <x:f>IF($A179="","",SUM(V179:X179))</x:f>
      </x:c>
      <x:c r="Z179" s="363" t="str">
        <x:f>IF($A179="","",Y179*'Pricing Rules'!$B$6)</x:f>
      </x:c>
      <x:c r="AA179" s="363" t="str">
        <x:f>IF($A179="","",Y179+Z179)</x:f>
      </x:c>
      <x:c r="AB179" s="388" t="str">
        <x:f>IF($A179="","",'Pricing Rules'!$B$7)</x:f>
      </x:c>
      <x:c r="AC179" s="363" t="str">
        <x:f>IF($A179="","",'Pricing Rules'!$B$8)</x:f>
      </x:c>
      <x:c r="AD179" s="388" t="str">
        <x:f>IF($A179="","",'Pricing Rules'!$B$9)</x:f>
      </x:c>
      <x:c r="AE179" s="363" t="str">
        <x:f>IF($A179="","",(AA179+AC179)/(1-AB179))</x:f>
      </x:c>
      <x:c r="AF179" s="363"/>
      <x:c r="AG179" s="363" t="str">
        <x:f>IF($A179="","",AA179/(1-AD179))</x:f>
      </x:c>
      <x:c r="AH179" s="363"/>
      <x:c r="AI179" s="363"/>
      <x:c r="AJ179" s="363" t="str">
        <x:f>IF($A179="","",IF(AI179&gt;0,IF(E179="Salla/Zid",AI179*(1-AB179)-AC179-Y179,IF(OR(E179="HungerStation",E179="ToYou",E179="The Chefz"),AI179*(1-AD179)-Y179,AI179-Y179)),""))</x:f>
      </x:c>
      <x:c r="AK179" s="388" t="str">
        <x:f>IF($A179="","",IF(Y179&gt;0,AJ179/Y179,""))</x:f>
      </x:c>
      <x:c r="AL179" s="364"/>
      <x:c r="AM179" s="365"/>
      <x:c r="AN179" s="389"/>
    </x:row>
    <x:row r="180">
      <x:c r="A180" s="361"/>
      <x:c r="B180" s="362"/>
      <x:c r="C180" s="362"/>
      <x:c r="D180" s="362"/>
      <x:c r="E180" s="362"/>
      <x:c r="F180" s="362"/>
      <x:c r="G180" s="362"/>
      <x:c r="H180" s="362"/>
      <x:c r="I180" s="363"/>
      <x:c r="J180" s="362"/>
      <x:c r="K180" s="362"/>
      <x:c r="L180" s="363"/>
      <x:c r="M180" s="362"/>
      <x:c r="N180" s="362"/>
      <x:c r="O180" s="363"/>
      <x:c r="P180" s="362"/>
      <x:c r="Q180" s="362"/>
      <x:c r="R180" s="363"/>
      <x:c r="S180" s="362"/>
      <x:c r="T180" s="362"/>
      <x:c r="U180" s="363"/>
      <x:c r="V180" s="363" t="str">
        <x:f>IF($A180="","",SUM(I180,L180,O180,R180,U180))</x:f>
      </x:c>
      <x:c r="W180" s="363" t="str">
        <x:f>IF($A180="","",'Pricing Rules'!$B$5)</x:f>
      </x:c>
      <x:c r="X180" s="363"/>
      <x:c r="Y180" s="363" t="str">
        <x:f>IF($A180="","",SUM(V180:X180))</x:f>
      </x:c>
      <x:c r="Z180" s="363" t="str">
        <x:f>IF($A180="","",Y180*'Pricing Rules'!$B$6)</x:f>
      </x:c>
      <x:c r="AA180" s="363" t="str">
        <x:f>IF($A180="","",Y180+Z180)</x:f>
      </x:c>
      <x:c r="AB180" s="388" t="str">
        <x:f>IF($A180="","",'Pricing Rules'!$B$7)</x:f>
      </x:c>
      <x:c r="AC180" s="363" t="str">
        <x:f>IF($A180="","",'Pricing Rules'!$B$8)</x:f>
      </x:c>
      <x:c r="AD180" s="388" t="str">
        <x:f>IF($A180="","",'Pricing Rules'!$B$9)</x:f>
      </x:c>
      <x:c r="AE180" s="363" t="str">
        <x:f>IF($A180="","",(AA180+AC180)/(1-AB180))</x:f>
      </x:c>
      <x:c r="AF180" s="363"/>
      <x:c r="AG180" s="363" t="str">
        <x:f>IF($A180="","",AA180/(1-AD180))</x:f>
      </x:c>
      <x:c r="AH180" s="363"/>
      <x:c r="AI180" s="363"/>
      <x:c r="AJ180" s="363" t="str">
        <x:f>IF($A180="","",IF(AI180&gt;0,IF(E180="Salla/Zid",AI180*(1-AB180)-AC180-Y180,IF(OR(E180="HungerStation",E180="ToYou",E180="The Chefz"),AI180*(1-AD180)-Y180,AI180-Y180)),""))</x:f>
      </x:c>
      <x:c r="AK180" s="388" t="str">
        <x:f>IF($A180="","",IF(Y180&gt;0,AJ180/Y180,""))</x:f>
      </x:c>
      <x:c r="AL180" s="364"/>
      <x:c r="AM180" s="365"/>
      <x:c r="AN180" s="389"/>
    </x:row>
    <x:row r="181">
      <x:c r="A181" s="361"/>
      <x:c r="B181" s="362"/>
      <x:c r="C181" s="362"/>
      <x:c r="D181" s="362"/>
      <x:c r="E181" s="362"/>
      <x:c r="F181" s="362"/>
      <x:c r="G181" s="362"/>
      <x:c r="H181" s="362"/>
      <x:c r="I181" s="363"/>
      <x:c r="J181" s="362"/>
      <x:c r="K181" s="362"/>
      <x:c r="L181" s="363"/>
      <x:c r="M181" s="362"/>
      <x:c r="N181" s="362"/>
      <x:c r="O181" s="363"/>
      <x:c r="P181" s="362"/>
      <x:c r="Q181" s="362"/>
      <x:c r="R181" s="363"/>
      <x:c r="S181" s="362"/>
      <x:c r="T181" s="362"/>
      <x:c r="U181" s="363"/>
      <x:c r="V181" s="363" t="str">
        <x:f>IF($A181="","",SUM(I181,L181,O181,R181,U181))</x:f>
      </x:c>
      <x:c r="W181" s="363" t="str">
        <x:f>IF($A181="","",'Pricing Rules'!$B$5)</x:f>
      </x:c>
      <x:c r="X181" s="363"/>
      <x:c r="Y181" s="363" t="str">
        <x:f>IF($A181="","",SUM(V181:X181))</x:f>
      </x:c>
      <x:c r="Z181" s="363" t="str">
        <x:f>IF($A181="","",Y181*'Pricing Rules'!$B$6)</x:f>
      </x:c>
      <x:c r="AA181" s="363" t="str">
        <x:f>IF($A181="","",Y181+Z181)</x:f>
      </x:c>
      <x:c r="AB181" s="388" t="str">
        <x:f>IF($A181="","",'Pricing Rules'!$B$7)</x:f>
      </x:c>
      <x:c r="AC181" s="363" t="str">
        <x:f>IF($A181="","",'Pricing Rules'!$B$8)</x:f>
      </x:c>
      <x:c r="AD181" s="388" t="str">
        <x:f>IF($A181="","",'Pricing Rules'!$B$9)</x:f>
      </x:c>
      <x:c r="AE181" s="363" t="str">
        <x:f>IF($A181="","",(AA181+AC181)/(1-AB181))</x:f>
      </x:c>
      <x:c r="AF181" s="363"/>
      <x:c r="AG181" s="363" t="str">
        <x:f>IF($A181="","",AA181/(1-AD181))</x:f>
      </x:c>
      <x:c r="AH181" s="363"/>
      <x:c r="AI181" s="363"/>
      <x:c r="AJ181" s="363" t="str">
        <x:f>IF($A181="","",IF(AI181&gt;0,IF(E181="Salla/Zid",AI181*(1-AB181)-AC181-Y181,IF(OR(E181="HungerStation",E181="ToYou",E181="The Chefz"),AI181*(1-AD181)-Y181,AI181-Y181)),""))</x:f>
      </x:c>
      <x:c r="AK181" s="388" t="str">
        <x:f>IF($A181="","",IF(Y181&gt;0,AJ181/Y181,""))</x:f>
      </x:c>
      <x:c r="AL181" s="364"/>
      <x:c r="AM181" s="365"/>
      <x:c r="AN181" s="389"/>
    </x:row>
    <x:row r="182">
      <x:c r="A182" s="361"/>
      <x:c r="B182" s="362"/>
      <x:c r="C182" s="362"/>
      <x:c r="D182" s="362"/>
      <x:c r="E182" s="362"/>
      <x:c r="F182" s="362"/>
      <x:c r="G182" s="362"/>
      <x:c r="H182" s="362"/>
      <x:c r="I182" s="363"/>
      <x:c r="J182" s="362"/>
      <x:c r="K182" s="362"/>
      <x:c r="L182" s="363"/>
      <x:c r="M182" s="362"/>
      <x:c r="N182" s="362"/>
      <x:c r="O182" s="363"/>
      <x:c r="P182" s="362"/>
      <x:c r="Q182" s="362"/>
      <x:c r="R182" s="363"/>
      <x:c r="S182" s="362"/>
      <x:c r="T182" s="362"/>
      <x:c r="U182" s="363"/>
      <x:c r="V182" s="363" t="str">
        <x:f>IF($A182="","",SUM(I182,L182,O182,R182,U182))</x:f>
      </x:c>
      <x:c r="W182" s="363" t="str">
        <x:f>IF($A182="","",'Pricing Rules'!$B$5)</x:f>
      </x:c>
      <x:c r="X182" s="363"/>
      <x:c r="Y182" s="363" t="str">
        <x:f>IF($A182="","",SUM(V182:X182))</x:f>
      </x:c>
      <x:c r="Z182" s="363" t="str">
        <x:f>IF($A182="","",Y182*'Pricing Rules'!$B$6)</x:f>
      </x:c>
      <x:c r="AA182" s="363" t="str">
        <x:f>IF($A182="","",Y182+Z182)</x:f>
      </x:c>
      <x:c r="AB182" s="388" t="str">
        <x:f>IF($A182="","",'Pricing Rules'!$B$7)</x:f>
      </x:c>
      <x:c r="AC182" s="363" t="str">
        <x:f>IF($A182="","",'Pricing Rules'!$B$8)</x:f>
      </x:c>
      <x:c r="AD182" s="388" t="str">
        <x:f>IF($A182="","",'Pricing Rules'!$B$9)</x:f>
      </x:c>
      <x:c r="AE182" s="363" t="str">
        <x:f>IF($A182="","",(AA182+AC182)/(1-AB182))</x:f>
      </x:c>
      <x:c r="AF182" s="363"/>
      <x:c r="AG182" s="363" t="str">
        <x:f>IF($A182="","",AA182/(1-AD182))</x:f>
      </x:c>
      <x:c r="AH182" s="363"/>
      <x:c r="AI182" s="363"/>
      <x:c r="AJ182" s="363" t="str">
        <x:f>IF($A182="","",IF(AI182&gt;0,IF(E182="Salla/Zid",AI182*(1-AB182)-AC182-Y182,IF(OR(E182="HungerStation",E182="ToYou",E182="The Chefz"),AI182*(1-AD182)-Y182,AI182-Y182)),""))</x:f>
      </x:c>
      <x:c r="AK182" s="388" t="str">
        <x:f>IF($A182="","",IF(Y182&gt;0,AJ182/Y182,""))</x:f>
      </x:c>
      <x:c r="AL182" s="364"/>
      <x:c r="AM182" s="365"/>
      <x:c r="AN182" s="389"/>
    </x:row>
    <x:row r="183">
      <x:c r="A183" s="361"/>
      <x:c r="B183" s="362"/>
      <x:c r="C183" s="362"/>
      <x:c r="D183" s="362"/>
      <x:c r="E183" s="362"/>
      <x:c r="F183" s="362"/>
      <x:c r="G183" s="362"/>
      <x:c r="H183" s="362"/>
      <x:c r="I183" s="363"/>
      <x:c r="J183" s="362"/>
      <x:c r="K183" s="362"/>
      <x:c r="L183" s="363"/>
      <x:c r="M183" s="362"/>
      <x:c r="N183" s="362"/>
      <x:c r="O183" s="363"/>
      <x:c r="P183" s="362"/>
      <x:c r="Q183" s="362"/>
      <x:c r="R183" s="363"/>
      <x:c r="S183" s="362"/>
      <x:c r="T183" s="362"/>
      <x:c r="U183" s="363"/>
      <x:c r="V183" s="363" t="str">
        <x:f>IF($A183="","",SUM(I183,L183,O183,R183,U183))</x:f>
      </x:c>
      <x:c r="W183" s="363" t="str">
        <x:f>IF($A183="","",'Pricing Rules'!$B$5)</x:f>
      </x:c>
      <x:c r="X183" s="363"/>
      <x:c r="Y183" s="363" t="str">
        <x:f>IF($A183="","",SUM(V183:X183))</x:f>
      </x:c>
      <x:c r="Z183" s="363" t="str">
        <x:f>IF($A183="","",Y183*'Pricing Rules'!$B$6)</x:f>
      </x:c>
      <x:c r="AA183" s="363" t="str">
        <x:f>IF($A183="","",Y183+Z183)</x:f>
      </x:c>
      <x:c r="AB183" s="388" t="str">
        <x:f>IF($A183="","",'Pricing Rules'!$B$7)</x:f>
      </x:c>
      <x:c r="AC183" s="363" t="str">
        <x:f>IF($A183="","",'Pricing Rules'!$B$8)</x:f>
      </x:c>
      <x:c r="AD183" s="388" t="str">
        <x:f>IF($A183="","",'Pricing Rules'!$B$9)</x:f>
      </x:c>
      <x:c r="AE183" s="363" t="str">
        <x:f>IF($A183="","",(AA183+AC183)/(1-AB183))</x:f>
      </x:c>
      <x:c r="AF183" s="363"/>
      <x:c r="AG183" s="363" t="str">
        <x:f>IF($A183="","",AA183/(1-AD183))</x:f>
      </x:c>
      <x:c r="AH183" s="363"/>
      <x:c r="AI183" s="363"/>
      <x:c r="AJ183" s="363" t="str">
        <x:f>IF($A183="","",IF(AI183&gt;0,IF(E183="Salla/Zid",AI183*(1-AB183)-AC183-Y183,IF(OR(E183="HungerStation",E183="ToYou",E183="The Chefz"),AI183*(1-AD183)-Y183,AI183-Y183)),""))</x:f>
      </x:c>
      <x:c r="AK183" s="388" t="str">
        <x:f>IF($A183="","",IF(Y183&gt;0,AJ183/Y183,""))</x:f>
      </x:c>
      <x:c r="AL183" s="364"/>
      <x:c r="AM183" s="365"/>
      <x:c r="AN183" s="389"/>
    </x:row>
    <x:row r="184">
      <x:c r="A184" s="361"/>
      <x:c r="B184" s="362"/>
      <x:c r="C184" s="362"/>
      <x:c r="D184" s="362"/>
      <x:c r="E184" s="362"/>
      <x:c r="F184" s="362"/>
      <x:c r="G184" s="362"/>
      <x:c r="H184" s="362"/>
      <x:c r="I184" s="363"/>
      <x:c r="J184" s="362"/>
      <x:c r="K184" s="362"/>
      <x:c r="L184" s="363"/>
      <x:c r="M184" s="362"/>
      <x:c r="N184" s="362"/>
      <x:c r="O184" s="363"/>
      <x:c r="P184" s="362"/>
      <x:c r="Q184" s="362"/>
      <x:c r="R184" s="363"/>
      <x:c r="S184" s="362"/>
      <x:c r="T184" s="362"/>
      <x:c r="U184" s="363"/>
      <x:c r="V184" s="363" t="str">
        <x:f>IF($A184="","",SUM(I184,L184,O184,R184,U184))</x:f>
      </x:c>
      <x:c r="W184" s="363" t="str">
        <x:f>IF($A184="","",'Pricing Rules'!$B$5)</x:f>
      </x:c>
      <x:c r="X184" s="363"/>
      <x:c r="Y184" s="363" t="str">
        <x:f>IF($A184="","",SUM(V184:X184))</x:f>
      </x:c>
      <x:c r="Z184" s="363" t="str">
        <x:f>IF($A184="","",Y184*'Pricing Rules'!$B$6)</x:f>
      </x:c>
      <x:c r="AA184" s="363" t="str">
        <x:f>IF($A184="","",Y184+Z184)</x:f>
      </x:c>
      <x:c r="AB184" s="388" t="str">
        <x:f>IF($A184="","",'Pricing Rules'!$B$7)</x:f>
      </x:c>
      <x:c r="AC184" s="363" t="str">
        <x:f>IF($A184="","",'Pricing Rules'!$B$8)</x:f>
      </x:c>
      <x:c r="AD184" s="388" t="str">
        <x:f>IF($A184="","",'Pricing Rules'!$B$9)</x:f>
      </x:c>
      <x:c r="AE184" s="363" t="str">
        <x:f>IF($A184="","",(AA184+AC184)/(1-AB184))</x:f>
      </x:c>
      <x:c r="AF184" s="363"/>
      <x:c r="AG184" s="363" t="str">
        <x:f>IF($A184="","",AA184/(1-AD184))</x:f>
      </x:c>
      <x:c r="AH184" s="363"/>
      <x:c r="AI184" s="363"/>
      <x:c r="AJ184" s="363" t="str">
        <x:f>IF($A184="","",IF(AI184&gt;0,IF(E184="Salla/Zid",AI184*(1-AB184)-AC184-Y184,IF(OR(E184="HungerStation",E184="ToYou",E184="The Chefz"),AI184*(1-AD184)-Y184,AI184-Y184)),""))</x:f>
      </x:c>
      <x:c r="AK184" s="388" t="str">
        <x:f>IF($A184="","",IF(Y184&gt;0,AJ184/Y184,""))</x:f>
      </x:c>
      <x:c r="AL184" s="364"/>
      <x:c r="AM184" s="365"/>
      <x:c r="AN184" s="389"/>
    </x:row>
    <x:row r="185">
      <x:c r="A185" s="361"/>
      <x:c r="B185" s="362"/>
      <x:c r="C185" s="362"/>
      <x:c r="D185" s="362"/>
      <x:c r="E185" s="362"/>
      <x:c r="F185" s="362"/>
      <x:c r="G185" s="362"/>
      <x:c r="H185" s="362"/>
      <x:c r="I185" s="363"/>
      <x:c r="J185" s="362"/>
      <x:c r="K185" s="362"/>
      <x:c r="L185" s="363"/>
      <x:c r="M185" s="362"/>
      <x:c r="N185" s="362"/>
      <x:c r="O185" s="363"/>
      <x:c r="P185" s="362"/>
      <x:c r="Q185" s="362"/>
      <x:c r="R185" s="363"/>
      <x:c r="S185" s="362"/>
      <x:c r="T185" s="362"/>
      <x:c r="U185" s="363"/>
      <x:c r="V185" s="363" t="str">
        <x:f>IF($A185="","",SUM(I185,L185,O185,R185,U185))</x:f>
      </x:c>
      <x:c r="W185" s="363" t="str">
        <x:f>IF($A185="","",'Pricing Rules'!$B$5)</x:f>
      </x:c>
      <x:c r="X185" s="363"/>
      <x:c r="Y185" s="363" t="str">
        <x:f>IF($A185="","",SUM(V185:X185))</x:f>
      </x:c>
      <x:c r="Z185" s="363" t="str">
        <x:f>IF($A185="","",Y185*'Pricing Rules'!$B$6)</x:f>
      </x:c>
      <x:c r="AA185" s="363" t="str">
        <x:f>IF($A185="","",Y185+Z185)</x:f>
      </x:c>
      <x:c r="AB185" s="388" t="str">
        <x:f>IF($A185="","",'Pricing Rules'!$B$7)</x:f>
      </x:c>
      <x:c r="AC185" s="363" t="str">
        <x:f>IF($A185="","",'Pricing Rules'!$B$8)</x:f>
      </x:c>
      <x:c r="AD185" s="388" t="str">
        <x:f>IF($A185="","",'Pricing Rules'!$B$9)</x:f>
      </x:c>
      <x:c r="AE185" s="363" t="str">
        <x:f>IF($A185="","",(AA185+AC185)/(1-AB185))</x:f>
      </x:c>
      <x:c r="AF185" s="363"/>
      <x:c r="AG185" s="363" t="str">
        <x:f>IF($A185="","",AA185/(1-AD185))</x:f>
      </x:c>
      <x:c r="AH185" s="363"/>
      <x:c r="AI185" s="363"/>
      <x:c r="AJ185" s="363" t="str">
        <x:f>IF($A185="","",IF(AI185&gt;0,IF(E185="Salla/Zid",AI185*(1-AB185)-AC185-Y185,IF(OR(E185="HungerStation",E185="ToYou",E185="The Chefz"),AI185*(1-AD185)-Y185,AI185-Y185)),""))</x:f>
      </x:c>
      <x:c r="AK185" s="388" t="str">
        <x:f>IF($A185="","",IF(Y185&gt;0,AJ185/Y185,""))</x:f>
      </x:c>
      <x:c r="AL185" s="364"/>
      <x:c r="AM185" s="365"/>
      <x:c r="AN185" s="389"/>
    </x:row>
    <x:row r="186">
      <x:c r="A186" s="361"/>
      <x:c r="B186" s="362"/>
      <x:c r="C186" s="362"/>
      <x:c r="D186" s="362"/>
      <x:c r="E186" s="362"/>
      <x:c r="F186" s="362"/>
      <x:c r="G186" s="362"/>
      <x:c r="H186" s="362"/>
      <x:c r="I186" s="363"/>
      <x:c r="J186" s="362"/>
      <x:c r="K186" s="362"/>
      <x:c r="L186" s="363"/>
      <x:c r="M186" s="362"/>
      <x:c r="N186" s="362"/>
      <x:c r="O186" s="363"/>
      <x:c r="P186" s="362"/>
      <x:c r="Q186" s="362"/>
      <x:c r="R186" s="363"/>
      <x:c r="S186" s="362"/>
      <x:c r="T186" s="362"/>
      <x:c r="U186" s="363"/>
      <x:c r="V186" s="363" t="str">
        <x:f>IF($A186="","",SUM(I186,L186,O186,R186,U186))</x:f>
      </x:c>
      <x:c r="W186" s="363" t="str">
        <x:f>IF($A186="","",'Pricing Rules'!$B$5)</x:f>
      </x:c>
      <x:c r="X186" s="363"/>
      <x:c r="Y186" s="363" t="str">
        <x:f>IF($A186="","",SUM(V186:X186))</x:f>
      </x:c>
      <x:c r="Z186" s="363" t="str">
        <x:f>IF($A186="","",Y186*'Pricing Rules'!$B$6)</x:f>
      </x:c>
      <x:c r="AA186" s="363" t="str">
        <x:f>IF($A186="","",Y186+Z186)</x:f>
      </x:c>
      <x:c r="AB186" s="388" t="str">
        <x:f>IF($A186="","",'Pricing Rules'!$B$7)</x:f>
      </x:c>
      <x:c r="AC186" s="363" t="str">
        <x:f>IF($A186="","",'Pricing Rules'!$B$8)</x:f>
      </x:c>
      <x:c r="AD186" s="388" t="str">
        <x:f>IF($A186="","",'Pricing Rules'!$B$9)</x:f>
      </x:c>
      <x:c r="AE186" s="363" t="str">
        <x:f>IF($A186="","",(AA186+AC186)/(1-AB186))</x:f>
      </x:c>
      <x:c r="AF186" s="363"/>
      <x:c r="AG186" s="363" t="str">
        <x:f>IF($A186="","",AA186/(1-AD186))</x:f>
      </x:c>
      <x:c r="AH186" s="363"/>
      <x:c r="AI186" s="363"/>
      <x:c r="AJ186" s="363" t="str">
        <x:f>IF($A186="","",IF(AI186&gt;0,IF(E186="Salla/Zid",AI186*(1-AB186)-AC186-Y186,IF(OR(E186="HungerStation",E186="ToYou",E186="The Chefz"),AI186*(1-AD186)-Y186,AI186-Y186)),""))</x:f>
      </x:c>
      <x:c r="AK186" s="388" t="str">
        <x:f>IF($A186="","",IF(Y186&gt;0,AJ186/Y186,""))</x:f>
      </x:c>
      <x:c r="AL186" s="364"/>
      <x:c r="AM186" s="365"/>
      <x:c r="AN186" s="389"/>
    </x:row>
    <x:row r="187">
      <x:c r="A187" s="361"/>
      <x:c r="B187" s="362"/>
      <x:c r="C187" s="362"/>
      <x:c r="D187" s="362"/>
      <x:c r="E187" s="362"/>
      <x:c r="F187" s="362"/>
      <x:c r="G187" s="362"/>
      <x:c r="H187" s="362"/>
      <x:c r="I187" s="363"/>
      <x:c r="J187" s="362"/>
      <x:c r="K187" s="362"/>
      <x:c r="L187" s="363"/>
      <x:c r="M187" s="362"/>
      <x:c r="N187" s="362"/>
      <x:c r="O187" s="363"/>
      <x:c r="P187" s="362"/>
      <x:c r="Q187" s="362"/>
      <x:c r="R187" s="363"/>
      <x:c r="S187" s="362"/>
      <x:c r="T187" s="362"/>
      <x:c r="U187" s="363"/>
      <x:c r="V187" s="363" t="str">
        <x:f>IF($A187="","",SUM(I187,L187,O187,R187,U187))</x:f>
      </x:c>
      <x:c r="W187" s="363" t="str">
        <x:f>IF($A187="","",'Pricing Rules'!$B$5)</x:f>
      </x:c>
      <x:c r="X187" s="363"/>
      <x:c r="Y187" s="363" t="str">
        <x:f>IF($A187="","",SUM(V187:X187))</x:f>
      </x:c>
      <x:c r="Z187" s="363" t="str">
        <x:f>IF($A187="","",Y187*'Pricing Rules'!$B$6)</x:f>
      </x:c>
      <x:c r="AA187" s="363" t="str">
        <x:f>IF($A187="","",Y187+Z187)</x:f>
      </x:c>
      <x:c r="AB187" s="388" t="str">
        <x:f>IF($A187="","",'Pricing Rules'!$B$7)</x:f>
      </x:c>
      <x:c r="AC187" s="363" t="str">
        <x:f>IF($A187="","",'Pricing Rules'!$B$8)</x:f>
      </x:c>
      <x:c r="AD187" s="388" t="str">
        <x:f>IF($A187="","",'Pricing Rules'!$B$9)</x:f>
      </x:c>
      <x:c r="AE187" s="363" t="str">
        <x:f>IF($A187="","",(AA187+AC187)/(1-AB187))</x:f>
      </x:c>
      <x:c r="AF187" s="363"/>
      <x:c r="AG187" s="363" t="str">
        <x:f>IF($A187="","",AA187/(1-AD187))</x:f>
      </x:c>
      <x:c r="AH187" s="363"/>
      <x:c r="AI187" s="363"/>
      <x:c r="AJ187" s="363" t="str">
        <x:f>IF($A187="","",IF(AI187&gt;0,IF(E187="Salla/Zid",AI187*(1-AB187)-AC187-Y187,IF(OR(E187="HungerStation",E187="ToYou",E187="The Chefz"),AI187*(1-AD187)-Y187,AI187-Y187)),""))</x:f>
      </x:c>
      <x:c r="AK187" s="388" t="str">
        <x:f>IF($A187="","",IF(Y187&gt;0,AJ187/Y187,""))</x:f>
      </x:c>
      <x:c r="AL187" s="364"/>
      <x:c r="AM187" s="365"/>
      <x:c r="AN187" s="389"/>
    </x:row>
    <x:row r="188">
      <x:c r="A188" s="361"/>
      <x:c r="B188" s="362"/>
      <x:c r="C188" s="362"/>
      <x:c r="D188" s="362"/>
      <x:c r="E188" s="362"/>
      <x:c r="F188" s="362"/>
      <x:c r="G188" s="362"/>
      <x:c r="H188" s="362"/>
      <x:c r="I188" s="363"/>
      <x:c r="J188" s="362"/>
      <x:c r="K188" s="362"/>
      <x:c r="L188" s="363"/>
      <x:c r="M188" s="362"/>
      <x:c r="N188" s="362"/>
      <x:c r="O188" s="363"/>
      <x:c r="P188" s="362"/>
      <x:c r="Q188" s="362"/>
      <x:c r="R188" s="363"/>
      <x:c r="S188" s="362"/>
      <x:c r="T188" s="362"/>
      <x:c r="U188" s="363"/>
      <x:c r="V188" s="363" t="str">
        <x:f>IF($A188="","",SUM(I188,L188,O188,R188,U188))</x:f>
      </x:c>
      <x:c r="W188" s="363" t="str">
        <x:f>IF($A188="","",'Pricing Rules'!$B$5)</x:f>
      </x:c>
      <x:c r="X188" s="363"/>
      <x:c r="Y188" s="363" t="str">
        <x:f>IF($A188="","",SUM(V188:X188))</x:f>
      </x:c>
      <x:c r="Z188" s="363" t="str">
        <x:f>IF($A188="","",Y188*'Pricing Rules'!$B$6)</x:f>
      </x:c>
      <x:c r="AA188" s="363" t="str">
        <x:f>IF($A188="","",Y188+Z188)</x:f>
      </x:c>
      <x:c r="AB188" s="388" t="str">
        <x:f>IF($A188="","",'Pricing Rules'!$B$7)</x:f>
      </x:c>
      <x:c r="AC188" s="363" t="str">
        <x:f>IF($A188="","",'Pricing Rules'!$B$8)</x:f>
      </x:c>
      <x:c r="AD188" s="388" t="str">
        <x:f>IF($A188="","",'Pricing Rules'!$B$9)</x:f>
      </x:c>
      <x:c r="AE188" s="363" t="str">
        <x:f>IF($A188="","",(AA188+AC188)/(1-AB188))</x:f>
      </x:c>
      <x:c r="AF188" s="363"/>
      <x:c r="AG188" s="363" t="str">
        <x:f>IF($A188="","",AA188/(1-AD188))</x:f>
      </x:c>
      <x:c r="AH188" s="363"/>
      <x:c r="AI188" s="363"/>
      <x:c r="AJ188" s="363" t="str">
        <x:f>IF($A188="","",IF(AI188&gt;0,IF(E188="Salla/Zid",AI188*(1-AB188)-AC188-Y188,IF(OR(E188="HungerStation",E188="ToYou",E188="The Chefz"),AI188*(1-AD188)-Y188,AI188-Y188)),""))</x:f>
      </x:c>
      <x:c r="AK188" s="388" t="str">
        <x:f>IF($A188="","",IF(Y188&gt;0,AJ188/Y188,""))</x:f>
      </x:c>
      <x:c r="AL188" s="364"/>
      <x:c r="AM188" s="365"/>
      <x:c r="AN188" s="389"/>
    </x:row>
    <x:row r="189">
      <x:c r="A189" s="361"/>
      <x:c r="B189" s="362"/>
      <x:c r="C189" s="362"/>
      <x:c r="D189" s="362"/>
      <x:c r="E189" s="362"/>
      <x:c r="F189" s="362"/>
      <x:c r="G189" s="362"/>
      <x:c r="H189" s="362"/>
      <x:c r="I189" s="363"/>
      <x:c r="J189" s="362"/>
      <x:c r="K189" s="362"/>
      <x:c r="L189" s="363"/>
      <x:c r="M189" s="362"/>
      <x:c r="N189" s="362"/>
      <x:c r="O189" s="363"/>
      <x:c r="P189" s="362"/>
      <x:c r="Q189" s="362"/>
      <x:c r="R189" s="363"/>
      <x:c r="S189" s="362"/>
      <x:c r="T189" s="362"/>
      <x:c r="U189" s="363"/>
      <x:c r="V189" s="363" t="str">
        <x:f>IF($A189="","",SUM(I189,L189,O189,R189,U189))</x:f>
      </x:c>
      <x:c r="W189" s="363" t="str">
        <x:f>IF($A189="","",'Pricing Rules'!$B$5)</x:f>
      </x:c>
      <x:c r="X189" s="363"/>
      <x:c r="Y189" s="363" t="str">
        <x:f>IF($A189="","",SUM(V189:X189))</x:f>
      </x:c>
      <x:c r="Z189" s="363" t="str">
        <x:f>IF($A189="","",Y189*'Pricing Rules'!$B$6)</x:f>
      </x:c>
      <x:c r="AA189" s="363" t="str">
        <x:f>IF($A189="","",Y189+Z189)</x:f>
      </x:c>
      <x:c r="AB189" s="388" t="str">
        <x:f>IF($A189="","",'Pricing Rules'!$B$7)</x:f>
      </x:c>
      <x:c r="AC189" s="363" t="str">
        <x:f>IF($A189="","",'Pricing Rules'!$B$8)</x:f>
      </x:c>
      <x:c r="AD189" s="388" t="str">
        <x:f>IF($A189="","",'Pricing Rules'!$B$9)</x:f>
      </x:c>
      <x:c r="AE189" s="363" t="str">
        <x:f>IF($A189="","",(AA189+AC189)/(1-AB189))</x:f>
      </x:c>
      <x:c r="AF189" s="363"/>
      <x:c r="AG189" s="363" t="str">
        <x:f>IF($A189="","",AA189/(1-AD189))</x:f>
      </x:c>
      <x:c r="AH189" s="363"/>
      <x:c r="AI189" s="363"/>
      <x:c r="AJ189" s="363" t="str">
        <x:f>IF($A189="","",IF(AI189&gt;0,IF(E189="Salla/Zid",AI189*(1-AB189)-AC189-Y189,IF(OR(E189="HungerStation",E189="ToYou",E189="The Chefz"),AI189*(1-AD189)-Y189,AI189-Y189)),""))</x:f>
      </x:c>
      <x:c r="AK189" s="388" t="str">
        <x:f>IF($A189="","",IF(Y189&gt;0,AJ189/Y189,""))</x:f>
      </x:c>
      <x:c r="AL189" s="364"/>
      <x:c r="AM189" s="365"/>
      <x:c r="AN189" s="389"/>
    </x:row>
    <x:row r="190">
      <x:c r="A190" s="361"/>
      <x:c r="B190" s="362"/>
      <x:c r="C190" s="362"/>
      <x:c r="D190" s="362"/>
      <x:c r="E190" s="362"/>
      <x:c r="F190" s="362"/>
      <x:c r="G190" s="362"/>
      <x:c r="H190" s="362"/>
      <x:c r="I190" s="363"/>
      <x:c r="J190" s="362"/>
      <x:c r="K190" s="362"/>
      <x:c r="L190" s="363"/>
      <x:c r="M190" s="362"/>
      <x:c r="N190" s="362"/>
      <x:c r="O190" s="363"/>
      <x:c r="P190" s="362"/>
      <x:c r="Q190" s="362"/>
      <x:c r="R190" s="363"/>
      <x:c r="S190" s="362"/>
      <x:c r="T190" s="362"/>
      <x:c r="U190" s="363"/>
      <x:c r="V190" s="363" t="str">
        <x:f>IF($A190="","",SUM(I190,L190,O190,R190,U190))</x:f>
      </x:c>
      <x:c r="W190" s="363" t="str">
        <x:f>IF($A190="","",'Pricing Rules'!$B$5)</x:f>
      </x:c>
      <x:c r="X190" s="363"/>
      <x:c r="Y190" s="363" t="str">
        <x:f>IF($A190="","",SUM(V190:X190))</x:f>
      </x:c>
      <x:c r="Z190" s="363" t="str">
        <x:f>IF($A190="","",Y190*'Pricing Rules'!$B$6)</x:f>
      </x:c>
      <x:c r="AA190" s="363" t="str">
        <x:f>IF($A190="","",Y190+Z190)</x:f>
      </x:c>
      <x:c r="AB190" s="388" t="str">
        <x:f>IF($A190="","",'Pricing Rules'!$B$7)</x:f>
      </x:c>
      <x:c r="AC190" s="363" t="str">
        <x:f>IF($A190="","",'Pricing Rules'!$B$8)</x:f>
      </x:c>
      <x:c r="AD190" s="388" t="str">
        <x:f>IF($A190="","",'Pricing Rules'!$B$9)</x:f>
      </x:c>
      <x:c r="AE190" s="363" t="str">
        <x:f>IF($A190="","",(AA190+AC190)/(1-AB190))</x:f>
      </x:c>
      <x:c r="AF190" s="363"/>
      <x:c r="AG190" s="363" t="str">
        <x:f>IF($A190="","",AA190/(1-AD190))</x:f>
      </x:c>
      <x:c r="AH190" s="363"/>
      <x:c r="AI190" s="363"/>
      <x:c r="AJ190" s="363" t="str">
        <x:f>IF($A190="","",IF(AI190&gt;0,IF(E190="Salla/Zid",AI190*(1-AB190)-AC190-Y190,IF(OR(E190="HungerStation",E190="ToYou",E190="The Chefz"),AI190*(1-AD190)-Y190,AI190-Y190)),""))</x:f>
      </x:c>
      <x:c r="AK190" s="388" t="str">
        <x:f>IF($A190="","",IF(Y190&gt;0,AJ190/Y190,""))</x:f>
      </x:c>
      <x:c r="AL190" s="364"/>
      <x:c r="AM190" s="365"/>
      <x:c r="AN190" s="389"/>
    </x:row>
    <x:row r="191">
      <x:c r="A191" s="361"/>
      <x:c r="B191" s="362"/>
      <x:c r="C191" s="362"/>
      <x:c r="D191" s="362"/>
      <x:c r="E191" s="362"/>
      <x:c r="F191" s="362"/>
      <x:c r="G191" s="362"/>
      <x:c r="H191" s="362"/>
      <x:c r="I191" s="363"/>
      <x:c r="J191" s="362"/>
      <x:c r="K191" s="362"/>
      <x:c r="L191" s="363"/>
      <x:c r="M191" s="362"/>
      <x:c r="N191" s="362"/>
      <x:c r="O191" s="363"/>
      <x:c r="P191" s="362"/>
      <x:c r="Q191" s="362"/>
      <x:c r="R191" s="363"/>
      <x:c r="S191" s="362"/>
      <x:c r="T191" s="362"/>
      <x:c r="U191" s="363"/>
      <x:c r="V191" s="363" t="str">
        <x:f>IF($A191="","",SUM(I191,L191,O191,R191,U191))</x:f>
      </x:c>
      <x:c r="W191" s="363" t="str">
        <x:f>IF($A191="","",'Pricing Rules'!$B$5)</x:f>
      </x:c>
      <x:c r="X191" s="363"/>
      <x:c r="Y191" s="363" t="str">
        <x:f>IF($A191="","",SUM(V191:X191))</x:f>
      </x:c>
      <x:c r="Z191" s="363" t="str">
        <x:f>IF($A191="","",Y191*'Pricing Rules'!$B$6)</x:f>
      </x:c>
      <x:c r="AA191" s="363" t="str">
        <x:f>IF($A191="","",Y191+Z191)</x:f>
      </x:c>
      <x:c r="AB191" s="388" t="str">
        <x:f>IF($A191="","",'Pricing Rules'!$B$7)</x:f>
      </x:c>
      <x:c r="AC191" s="363" t="str">
        <x:f>IF($A191="","",'Pricing Rules'!$B$8)</x:f>
      </x:c>
      <x:c r="AD191" s="388" t="str">
        <x:f>IF($A191="","",'Pricing Rules'!$B$9)</x:f>
      </x:c>
      <x:c r="AE191" s="363" t="str">
        <x:f>IF($A191="","",(AA191+AC191)/(1-AB191))</x:f>
      </x:c>
      <x:c r="AF191" s="363"/>
      <x:c r="AG191" s="363" t="str">
        <x:f>IF($A191="","",AA191/(1-AD191))</x:f>
      </x:c>
      <x:c r="AH191" s="363"/>
      <x:c r="AI191" s="363"/>
      <x:c r="AJ191" s="363" t="str">
        <x:f>IF($A191="","",IF(AI191&gt;0,IF(E191="Salla/Zid",AI191*(1-AB191)-AC191-Y191,IF(OR(E191="HungerStation",E191="ToYou",E191="The Chefz"),AI191*(1-AD191)-Y191,AI191-Y191)),""))</x:f>
      </x:c>
      <x:c r="AK191" s="388" t="str">
        <x:f>IF($A191="","",IF(Y191&gt;0,AJ191/Y191,""))</x:f>
      </x:c>
      <x:c r="AL191" s="364"/>
      <x:c r="AM191" s="365"/>
      <x:c r="AN191" s="389"/>
    </x:row>
    <x:row r="192">
      <x:c r="A192" s="361"/>
      <x:c r="B192" s="362"/>
      <x:c r="C192" s="362"/>
      <x:c r="D192" s="362"/>
      <x:c r="E192" s="362"/>
      <x:c r="F192" s="362"/>
      <x:c r="G192" s="362"/>
      <x:c r="H192" s="362"/>
      <x:c r="I192" s="363"/>
      <x:c r="J192" s="362"/>
      <x:c r="K192" s="362"/>
      <x:c r="L192" s="363"/>
      <x:c r="M192" s="362"/>
      <x:c r="N192" s="362"/>
      <x:c r="O192" s="363"/>
      <x:c r="P192" s="362"/>
      <x:c r="Q192" s="362"/>
      <x:c r="R192" s="363"/>
      <x:c r="S192" s="362"/>
      <x:c r="T192" s="362"/>
      <x:c r="U192" s="363"/>
      <x:c r="V192" s="363" t="str">
        <x:f>IF($A192="","",SUM(I192,L192,O192,R192,U192))</x:f>
      </x:c>
      <x:c r="W192" s="363" t="str">
        <x:f>IF($A192="","",'Pricing Rules'!$B$5)</x:f>
      </x:c>
      <x:c r="X192" s="363"/>
      <x:c r="Y192" s="363" t="str">
        <x:f>IF($A192="","",SUM(V192:X192))</x:f>
      </x:c>
      <x:c r="Z192" s="363" t="str">
        <x:f>IF($A192="","",Y192*'Pricing Rules'!$B$6)</x:f>
      </x:c>
      <x:c r="AA192" s="363" t="str">
        <x:f>IF($A192="","",Y192+Z192)</x:f>
      </x:c>
      <x:c r="AB192" s="388" t="str">
        <x:f>IF($A192="","",'Pricing Rules'!$B$7)</x:f>
      </x:c>
      <x:c r="AC192" s="363" t="str">
        <x:f>IF($A192="","",'Pricing Rules'!$B$8)</x:f>
      </x:c>
      <x:c r="AD192" s="388" t="str">
        <x:f>IF($A192="","",'Pricing Rules'!$B$9)</x:f>
      </x:c>
      <x:c r="AE192" s="363" t="str">
        <x:f>IF($A192="","",(AA192+AC192)/(1-AB192))</x:f>
      </x:c>
      <x:c r="AF192" s="363"/>
      <x:c r="AG192" s="363" t="str">
        <x:f>IF($A192="","",AA192/(1-AD192))</x:f>
      </x:c>
      <x:c r="AH192" s="363"/>
      <x:c r="AI192" s="363"/>
      <x:c r="AJ192" s="363" t="str">
        <x:f>IF($A192="","",IF(AI192&gt;0,IF(E192="Salla/Zid",AI192*(1-AB192)-AC192-Y192,IF(OR(E192="HungerStation",E192="ToYou",E192="The Chefz"),AI192*(1-AD192)-Y192,AI192-Y192)),""))</x:f>
      </x:c>
      <x:c r="AK192" s="388" t="str">
        <x:f>IF($A192="","",IF(Y192&gt;0,AJ192/Y192,""))</x:f>
      </x:c>
      <x:c r="AL192" s="364"/>
      <x:c r="AM192" s="365"/>
      <x:c r="AN192" s="389"/>
    </x:row>
    <x:row r="193">
      <x:c r="A193" s="361"/>
      <x:c r="B193" s="362"/>
      <x:c r="C193" s="362"/>
      <x:c r="D193" s="362"/>
      <x:c r="E193" s="362"/>
      <x:c r="F193" s="362"/>
      <x:c r="G193" s="362"/>
      <x:c r="H193" s="362"/>
      <x:c r="I193" s="363"/>
      <x:c r="J193" s="362"/>
      <x:c r="K193" s="362"/>
      <x:c r="L193" s="363"/>
      <x:c r="M193" s="362"/>
      <x:c r="N193" s="362"/>
      <x:c r="O193" s="363"/>
      <x:c r="P193" s="362"/>
      <x:c r="Q193" s="362"/>
      <x:c r="R193" s="363"/>
      <x:c r="S193" s="362"/>
      <x:c r="T193" s="362"/>
      <x:c r="U193" s="363"/>
      <x:c r="V193" s="363" t="str">
        <x:f>IF($A193="","",SUM(I193,L193,O193,R193,U193))</x:f>
      </x:c>
      <x:c r="W193" s="363" t="str">
        <x:f>IF($A193="","",'Pricing Rules'!$B$5)</x:f>
      </x:c>
      <x:c r="X193" s="363"/>
      <x:c r="Y193" s="363" t="str">
        <x:f>IF($A193="","",SUM(V193:X193))</x:f>
      </x:c>
      <x:c r="Z193" s="363" t="str">
        <x:f>IF($A193="","",Y193*'Pricing Rules'!$B$6)</x:f>
      </x:c>
      <x:c r="AA193" s="363" t="str">
        <x:f>IF($A193="","",Y193+Z193)</x:f>
      </x:c>
      <x:c r="AB193" s="388" t="str">
        <x:f>IF($A193="","",'Pricing Rules'!$B$7)</x:f>
      </x:c>
      <x:c r="AC193" s="363" t="str">
        <x:f>IF($A193="","",'Pricing Rules'!$B$8)</x:f>
      </x:c>
      <x:c r="AD193" s="388" t="str">
        <x:f>IF($A193="","",'Pricing Rules'!$B$9)</x:f>
      </x:c>
      <x:c r="AE193" s="363" t="str">
        <x:f>IF($A193="","",(AA193+AC193)/(1-AB193))</x:f>
      </x:c>
      <x:c r="AF193" s="363"/>
      <x:c r="AG193" s="363" t="str">
        <x:f>IF($A193="","",AA193/(1-AD193))</x:f>
      </x:c>
      <x:c r="AH193" s="363"/>
      <x:c r="AI193" s="363"/>
      <x:c r="AJ193" s="363" t="str">
        <x:f>IF($A193="","",IF(AI193&gt;0,IF(E193="Salla/Zid",AI193*(1-AB193)-AC193-Y193,IF(OR(E193="HungerStation",E193="ToYou",E193="The Chefz"),AI193*(1-AD193)-Y193,AI193-Y193)),""))</x:f>
      </x:c>
      <x:c r="AK193" s="388" t="str">
        <x:f>IF($A193="","",IF(Y193&gt;0,AJ193/Y193,""))</x:f>
      </x:c>
      <x:c r="AL193" s="364"/>
      <x:c r="AM193" s="365"/>
      <x:c r="AN193" s="389"/>
    </x:row>
    <x:row r="194">
      <x:c r="A194" s="361"/>
      <x:c r="B194" s="362"/>
      <x:c r="C194" s="362"/>
      <x:c r="D194" s="362"/>
      <x:c r="E194" s="362"/>
      <x:c r="F194" s="362"/>
      <x:c r="G194" s="362"/>
      <x:c r="H194" s="362"/>
      <x:c r="I194" s="363"/>
      <x:c r="J194" s="362"/>
      <x:c r="K194" s="362"/>
      <x:c r="L194" s="363"/>
      <x:c r="M194" s="362"/>
      <x:c r="N194" s="362"/>
      <x:c r="O194" s="363"/>
      <x:c r="P194" s="362"/>
      <x:c r="Q194" s="362"/>
      <x:c r="R194" s="363"/>
      <x:c r="S194" s="362"/>
      <x:c r="T194" s="362"/>
      <x:c r="U194" s="363"/>
      <x:c r="V194" s="363" t="str">
        <x:f>IF($A194="","",SUM(I194,L194,O194,R194,U194))</x:f>
      </x:c>
      <x:c r="W194" s="363" t="str">
        <x:f>IF($A194="","",'Pricing Rules'!$B$5)</x:f>
      </x:c>
      <x:c r="X194" s="363"/>
      <x:c r="Y194" s="363" t="str">
        <x:f>IF($A194="","",SUM(V194:X194))</x:f>
      </x:c>
      <x:c r="Z194" s="363" t="str">
        <x:f>IF($A194="","",Y194*'Pricing Rules'!$B$6)</x:f>
      </x:c>
      <x:c r="AA194" s="363" t="str">
        <x:f>IF($A194="","",Y194+Z194)</x:f>
      </x:c>
      <x:c r="AB194" s="388" t="str">
        <x:f>IF($A194="","",'Pricing Rules'!$B$7)</x:f>
      </x:c>
      <x:c r="AC194" s="363" t="str">
        <x:f>IF($A194="","",'Pricing Rules'!$B$8)</x:f>
      </x:c>
      <x:c r="AD194" s="388" t="str">
        <x:f>IF($A194="","",'Pricing Rules'!$B$9)</x:f>
      </x:c>
      <x:c r="AE194" s="363" t="str">
        <x:f>IF($A194="","",(AA194+AC194)/(1-AB194))</x:f>
      </x:c>
      <x:c r="AF194" s="363"/>
      <x:c r="AG194" s="363" t="str">
        <x:f>IF($A194="","",AA194/(1-AD194))</x:f>
      </x:c>
      <x:c r="AH194" s="363"/>
      <x:c r="AI194" s="363"/>
      <x:c r="AJ194" s="363" t="str">
        <x:f>IF($A194="","",IF(AI194&gt;0,IF(E194="Salla/Zid",AI194*(1-AB194)-AC194-Y194,IF(OR(E194="HungerStation",E194="ToYou",E194="The Chefz"),AI194*(1-AD194)-Y194,AI194-Y194)),""))</x:f>
      </x:c>
      <x:c r="AK194" s="388" t="str">
        <x:f>IF($A194="","",IF(Y194&gt;0,AJ194/Y194,""))</x:f>
      </x:c>
      <x:c r="AL194" s="364"/>
      <x:c r="AM194" s="365"/>
      <x:c r="AN194" s="389"/>
    </x:row>
    <x:row r="195">
      <x:c r="A195" s="361"/>
      <x:c r="B195" s="362"/>
      <x:c r="C195" s="362"/>
      <x:c r="D195" s="362"/>
      <x:c r="E195" s="362"/>
      <x:c r="F195" s="362"/>
      <x:c r="G195" s="362"/>
      <x:c r="H195" s="362"/>
      <x:c r="I195" s="363"/>
      <x:c r="J195" s="362"/>
      <x:c r="K195" s="362"/>
      <x:c r="L195" s="363"/>
      <x:c r="M195" s="362"/>
      <x:c r="N195" s="362"/>
      <x:c r="O195" s="363"/>
      <x:c r="P195" s="362"/>
      <x:c r="Q195" s="362"/>
      <x:c r="R195" s="363"/>
      <x:c r="S195" s="362"/>
      <x:c r="T195" s="362"/>
      <x:c r="U195" s="363"/>
      <x:c r="V195" s="363" t="str">
        <x:f>IF($A195="","",SUM(I195,L195,O195,R195,U195))</x:f>
      </x:c>
      <x:c r="W195" s="363" t="str">
        <x:f>IF($A195="","",'Pricing Rules'!$B$5)</x:f>
      </x:c>
      <x:c r="X195" s="363"/>
      <x:c r="Y195" s="363" t="str">
        <x:f>IF($A195="","",SUM(V195:X195))</x:f>
      </x:c>
      <x:c r="Z195" s="363" t="str">
        <x:f>IF($A195="","",Y195*'Pricing Rules'!$B$6)</x:f>
      </x:c>
      <x:c r="AA195" s="363" t="str">
        <x:f>IF($A195="","",Y195+Z195)</x:f>
      </x:c>
      <x:c r="AB195" s="388" t="str">
        <x:f>IF($A195="","",'Pricing Rules'!$B$7)</x:f>
      </x:c>
      <x:c r="AC195" s="363" t="str">
        <x:f>IF($A195="","",'Pricing Rules'!$B$8)</x:f>
      </x:c>
      <x:c r="AD195" s="388" t="str">
        <x:f>IF($A195="","",'Pricing Rules'!$B$9)</x:f>
      </x:c>
      <x:c r="AE195" s="363" t="str">
        <x:f>IF($A195="","",(AA195+AC195)/(1-AB195))</x:f>
      </x:c>
      <x:c r="AF195" s="363"/>
      <x:c r="AG195" s="363" t="str">
        <x:f>IF($A195="","",AA195/(1-AD195))</x:f>
      </x:c>
      <x:c r="AH195" s="363"/>
      <x:c r="AI195" s="363"/>
      <x:c r="AJ195" s="363" t="str">
        <x:f>IF($A195="","",IF(AI195&gt;0,IF(E195="Salla/Zid",AI195*(1-AB195)-AC195-Y195,IF(OR(E195="HungerStation",E195="ToYou",E195="The Chefz"),AI195*(1-AD195)-Y195,AI195-Y195)),""))</x:f>
      </x:c>
      <x:c r="AK195" s="388" t="str">
        <x:f>IF($A195="","",IF(Y195&gt;0,AJ195/Y195,""))</x:f>
      </x:c>
      <x:c r="AL195" s="364"/>
      <x:c r="AM195" s="365"/>
      <x:c r="AN195" s="389"/>
    </x:row>
    <x:row r="196">
      <x:c r="A196" s="361"/>
      <x:c r="B196" s="362"/>
      <x:c r="C196" s="362"/>
      <x:c r="D196" s="362"/>
      <x:c r="E196" s="362"/>
      <x:c r="F196" s="362"/>
      <x:c r="G196" s="362"/>
      <x:c r="H196" s="362"/>
      <x:c r="I196" s="363"/>
      <x:c r="J196" s="362"/>
      <x:c r="K196" s="362"/>
      <x:c r="L196" s="363"/>
      <x:c r="M196" s="362"/>
      <x:c r="N196" s="362"/>
      <x:c r="O196" s="363"/>
      <x:c r="P196" s="362"/>
      <x:c r="Q196" s="362"/>
      <x:c r="R196" s="363"/>
      <x:c r="S196" s="362"/>
      <x:c r="T196" s="362"/>
      <x:c r="U196" s="363"/>
      <x:c r="V196" s="363" t="str">
        <x:f>IF($A196="","",SUM(I196,L196,O196,R196,U196))</x:f>
      </x:c>
      <x:c r="W196" s="363" t="str">
        <x:f>IF($A196="","",'Pricing Rules'!$B$5)</x:f>
      </x:c>
      <x:c r="X196" s="363"/>
      <x:c r="Y196" s="363" t="str">
        <x:f>IF($A196="","",SUM(V196:X196))</x:f>
      </x:c>
      <x:c r="Z196" s="363" t="str">
        <x:f>IF($A196="","",Y196*'Pricing Rules'!$B$6)</x:f>
      </x:c>
      <x:c r="AA196" s="363" t="str">
        <x:f>IF($A196="","",Y196+Z196)</x:f>
      </x:c>
      <x:c r="AB196" s="388" t="str">
        <x:f>IF($A196="","",'Pricing Rules'!$B$7)</x:f>
      </x:c>
      <x:c r="AC196" s="363" t="str">
        <x:f>IF($A196="","",'Pricing Rules'!$B$8)</x:f>
      </x:c>
      <x:c r="AD196" s="388" t="str">
        <x:f>IF($A196="","",'Pricing Rules'!$B$9)</x:f>
      </x:c>
      <x:c r="AE196" s="363" t="str">
        <x:f>IF($A196="","",(AA196+AC196)/(1-AB196))</x:f>
      </x:c>
      <x:c r="AF196" s="363"/>
      <x:c r="AG196" s="363" t="str">
        <x:f>IF($A196="","",AA196/(1-AD196))</x:f>
      </x:c>
      <x:c r="AH196" s="363"/>
      <x:c r="AI196" s="363"/>
      <x:c r="AJ196" s="363" t="str">
        <x:f>IF($A196="","",IF(AI196&gt;0,IF(E196="Salla/Zid",AI196*(1-AB196)-AC196-Y196,IF(OR(E196="HungerStation",E196="ToYou",E196="The Chefz"),AI196*(1-AD196)-Y196,AI196-Y196)),""))</x:f>
      </x:c>
      <x:c r="AK196" s="388" t="str">
        <x:f>IF($A196="","",IF(Y196&gt;0,AJ196/Y196,""))</x:f>
      </x:c>
      <x:c r="AL196" s="364"/>
      <x:c r="AM196" s="365"/>
      <x:c r="AN196" s="389"/>
    </x:row>
    <x:row r="197">
      <x:c r="A197" s="361"/>
      <x:c r="B197" s="362"/>
      <x:c r="C197" s="362"/>
      <x:c r="D197" s="362"/>
      <x:c r="E197" s="362"/>
      <x:c r="F197" s="362"/>
      <x:c r="G197" s="362"/>
      <x:c r="H197" s="362"/>
      <x:c r="I197" s="363"/>
      <x:c r="J197" s="362"/>
      <x:c r="K197" s="362"/>
      <x:c r="L197" s="363"/>
      <x:c r="M197" s="362"/>
      <x:c r="N197" s="362"/>
      <x:c r="O197" s="363"/>
      <x:c r="P197" s="362"/>
      <x:c r="Q197" s="362"/>
      <x:c r="R197" s="363"/>
      <x:c r="S197" s="362"/>
      <x:c r="T197" s="362"/>
      <x:c r="U197" s="363"/>
      <x:c r="V197" s="363" t="str">
        <x:f>IF($A197="","",SUM(I197,L197,O197,R197,U197))</x:f>
      </x:c>
      <x:c r="W197" s="363" t="str">
        <x:f>IF($A197="","",'Pricing Rules'!$B$5)</x:f>
      </x:c>
      <x:c r="X197" s="363"/>
      <x:c r="Y197" s="363" t="str">
        <x:f>IF($A197="","",SUM(V197:X197))</x:f>
      </x:c>
      <x:c r="Z197" s="363" t="str">
        <x:f>IF($A197="","",Y197*'Pricing Rules'!$B$6)</x:f>
      </x:c>
      <x:c r="AA197" s="363" t="str">
        <x:f>IF($A197="","",Y197+Z197)</x:f>
      </x:c>
      <x:c r="AB197" s="388" t="str">
        <x:f>IF($A197="","",'Pricing Rules'!$B$7)</x:f>
      </x:c>
      <x:c r="AC197" s="363" t="str">
        <x:f>IF($A197="","",'Pricing Rules'!$B$8)</x:f>
      </x:c>
      <x:c r="AD197" s="388" t="str">
        <x:f>IF($A197="","",'Pricing Rules'!$B$9)</x:f>
      </x:c>
      <x:c r="AE197" s="363" t="str">
        <x:f>IF($A197="","",(AA197+AC197)/(1-AB197))</x:f>
      </x:c>
      <x:c r="AF197" s="363"/>
      <x:c r="AG197" s="363" t="str">
        <x:f>IF($A197="","",AA197/(1-AD197))</x:f>
      </x:c>
      <x:c r="AH197" s="363"/>
      <x:c r="AI197" s="363"/>
      <x:c r="AJ197" s="363" t="str">
        <x:f>IF($A197="","",IF(AI197&gt;0,IF(E197="Salla/Zid",AI197*(1-AB197)-AC197-Y197,IF(OR(E197="HungerStation",E197="ToYou",E197="The Chefz"),AI197*(1-AD197)-Y197,AI197-Y197)),""))</x:f>
      </x:c>
      <x:c r="AK197" s="388" t="str">
        <x:f>IF($A197="","",IF(Y197&gt;0,AJ197/Y197,""))</x:f>
      </x:c>
      <x:c r="AL197" s="364"/>
      <x:c r="AM197" s="365"/>
      <x:c r="AN197" s="389"/>
    </x:row>
    <x:row r="198">
      <x:c r="A198" s="361"/>
      <x:c r="B198" s="362"/>
      <x:c r="C198" s="362"/>
      <x:c r="D198" s="362"/>
      <x:c r="E198" s="362"/>
      <x:c r="F198" s="362"/>
      <x:c r="G198" s="362"/>
      <x:c r="H198" s="362"/>
      <x:c r="I198" s="363"/>
      <x:c r="J198" s="362"/>
      <x:c r="K198" s="362"/>
      <x:c r="L198" s="363"/>
      <x:c r="M198" s="362"/>
      <x:c r="N198" s="362"/>
      <x:c r="O198" s="363"/>
      <x:c r="P198" s="362"/>
      <x:c r="Q198" s="362"/>
      <x:c r="R198" s="363"/>
      <x:c r="S198" s="362"/>
      <x:c r="T198" s="362"/>
      <x:c r="U198" s="363"/>
      <x:c r="V198" s="363" t="str">
        <x:f>IF($A198="","",SUM(I198,L198,O198,R198,U198))</x:f>
      </x:c>
      <x:c r="W198" s="363" t="str">
        <x:f>IF($A198="","",'Pricing Rules'!$B$5)</x:f>
      </x:c>
      <x:c r="X198" s="363"/>
      <x:c r="Y198" s="363" t="str">
        <x:f>IF($A198="","",SUM(V198:X198))</x:f>
      </x:c>
      <x:c r="Z198" s="363" t="str">
        <x:f>IF($A198="","",Y198*'Pricing Rules'!$B$6)</x:f>
      </x:c>
      <x:c r="AA198" s="363" t="str">
        <x:f>IF($A198="","",Y198+Z198)</x:f>
      </x:c>
      <x:c r="AB198" s="388" t="str">
        <x:f>IF($A198="","",'Pricing Rules'!$B$7)</x:f>
      </x:c>
      <x:c r="AC198" s="363" t="str">
        <x:f>IF($A198="","",'Pricing Rules'!$B$8)</x:f>
      </x:c>
      <x:c r="AD198" s="388" t="str">
        <x:f>IF($A198="","",'Pricing Rules'!$B$9)</x:f>
      </x:c>
      <x:c r="AE198" s="363" t="str">
        <x:f>IF($A198="","",(AA198+AC198)/(1-AB198))</x:f>
      </x:c>
      <x:c r="AF198" s="363"/>
      <x:c r="AG198" s="363" t="str">
        <x:f>IF($A198="","",AA198/(1-AD198))</x:f>
      </x:c>
      <x:c r="AH198" s="363"/>
      <x:c r="AI198" s="363"/>
      <x:c r="AJ198" s="363" t="str">
        <x:f>IF($A198="","",IF(AI198&gt;0,IF(E198="Salla/Zid",AI198*(1-AB198)-AC198-Y198,IF(OR(E198="HungerStation",E198="ToYou",E198="The Chefz"),AI198*(1-AD198)-Y198,AI198-Y198)),""))</x:f>
      </x:c>
      <x:c r="AK198" s="388" t="str">
        <x:f>IF($A198="","",IF(Y198&gt;0,AJ198/Y198,""))</x:f>
      </x:c>
      <x:c r="AL198" s="364"/>
      <x:c r="AM198" s="365"/>
      <x:c r="AN198" s="389"/>
    </x:row>
    <x:row r="199">
      <x:c r="A199" s="361"/>
      <x:c r="B199" s="362"/>
      <x:c r="C199" s="362"/>
      <x:c r="D199" s="362"/>
      <x:c r="E199" s="362"/>
      <x:c r="F199" s="362"/>
      <x:c r="G199" s="362"/>
      <x:c r="H199" s="362"/>
      <x:c r="I199" s="363"/>
      <x:c r="J199" s="362"/>
      <x:c r="K199" s="362"/>
      <x:c r="L199" s="363"/>
      <x:c r="M199" s="362"/>
      <x:c r="N199" s="362"/>
      <x:c r="O199" s="363"/>
      <x:c r="P199" s="362"/>
      <x:c r="Q199" s="362"/>
      <x:c r="R199" s="363"/>
      <x:c r="S199" s="362"/>
      <x:c r="T199" s="362"/>
      <x:c r="U199" s="363"/>
      <x:c r="V199" s="363" t="str">
        <x:f>IF($A199="","",SUM(I199,L199,O199,R199,U199))</x:f>
      </x:c>
      <x:c r="W199" s="363" t="str">
        <x:f>IF($A199="","",'Pricing Rules'!$B$5)</x:f>
      </x:c>
      <x:c r="X199" s="363"/>
      <x:c r="Y199" s="363" t="str">
        <x:f>IF($A199="","",SUM(V199:X199))</x:f>
      </x:c>
      <x:c r="Z199" s="363" t="str">
        <x:f>IF($A199="","",Y199*'Pricing Rules'!$B$6)</x:f>
      </x:c>
      <x:c r="AA199" s="363" t="str">
        <x:f>IF($A199="","",Y199+Z199)</x:f>
      </x:c>
      <x:c r="AB199" s="388" t="str">
        <x:f>IF($A199="","",'Pricing Rules'!$B$7)</x:f>
      </x:c>
      <x:c r="AC199" s="363" t="str">
        <x:f>IF($A199="","",'Pricing Rules'!$B$8)</x:f>
      </x:c>
      <x:c r="AD199" s="388" t="str">
        <x:f>IF($A199="","",'Pricing Rules'!$B$9)</x:f>
      </x:c>
      <x:c r="AE199" s="363" t="str">
        <x:f>IF($A199="","",(AA199+AC199)/(1-AB199))</x:f>
      </x:c>
      <x:c r="AF199" s="363"/>
      <x:c r="AG199" s="363" t="str">
        <x:f>IF($A199="","",AA199/(1-AD199))</x:f>
      </x:c>
      <x:c r="AH199" s="363"/>
      <x:c r="AI199" s="363"/>
      <x:c r="AJ199" s="363" t="str">
        <x:f>IF($A199="","",IF(AI199&gt;0,IF(E199="Salla/Zid",AI199*(1-AB199)-AC199-Y199,IF(OR(E199="HungerStation",E199="ToYou",E199="The Chefz"),AI199*(1-AD199)-Y199,AI199-Y199)),""))</x:f>
      </x:c>
      <x:c r="AK199" s="388" t="str">
        <x:f>IF($A199="","",IF(Y199&gt;0,AJ199/Y199,""))</x:f>
      </x:c>
      <x:c r="AL199" s="364"/>
      <x:c r="AM199" s="365"/>
      <x:c r="AN199" s="389"/>
    </x:row>
    <x:row r="200">
      <x:c r="A200" s="367"/>
      <x:c r="B200" s="368"/>
      <x:c r="C200" s="368"/>
      <x:c r="D200" s="368"/>
      <x:c r="E200" s="368"/>
      <x:c r="F200" s="368"/>
      <x:c r="G200" s="368"/>
      <x:c r="H200" s="368"/>
      <x:c r="I200" s="369"/>
      <x:c r="J200" s="368"/>
      <x:c r="K200" s="368"/>
      <x:c r="L200" s="369"/>
      <x:c r="M200" s="368"/>
      <x:c r="N200" s="368"/>
      <x:c r="O200" s="369"/>
      <x:c r="P200" s="368"/>
      <x:c r="Q200" s="368"/>
      <x:c r="R200" s="369"/>
      <x:c r="S200" s="368"/>
      <x:c r="T200" s="368"/>
      <x:c r="U200" s="369"/>
      <x:c r="V200" s="369" t="str">
        <x:f>IF($A200="","",SUM(I200,L200,O200,R200,U200))</x:f>
      </x:c>
      <x:c r="W200" s="369" t="str">
        <x:f>IF($A200="","",'Pricing Rules'!$B$5)</x:f>
      </x:c>
      <x:c r="X200" s="369"/>
      <x:c r="Y200" s="369" t="str">
        <x:f>IF($A200="","",SUM(V200:X200))</x:f>
      </x:c>
      <x:c r="Z200" s="369" t="str">
        <x:f>IF($A200="","",Y200*'Pricing Rules'!$B$6)</x:f>
      </x:c>
      <x:c r="AA200" s="369" t="str">
        <x:f>IF($A200="","",Y200+Z200)</x:f>
      </x:c>
      <x:c r="AB200" s="390" t="str">
        <x:f>IF($A200="","",'Pricing Rules'!$B$7)</x:f>
      </x:c>
      <x:c r="AC200" s="369" t="str">
        <x:f>IF($A200="","",'Pricing Rules'!$B$8)</x:f>
      </x:c>
      <x:c r="AD200" s="390" t="str">
        <x:f>IF($A200="","",'Pricing Rules'!$B$9)</x:f>
      </x:c>
      <x:c r="AE200" s="369" t="str">
        <x:f>IF($A200="","",(AA200+AC200)/(1-AB200))</x:f>
      </x:c>
      <x:c r="AF200" s="369"/>
      <x:c r="AG200" s="369" t="str">
        <x:f>IF($A200="","",AA200/(1-AD200))</x:f>
      </x:c>
      <x:c r="AH200" s="369"/>
      <x:c r="AI200" s="369"/>
      <x:c r="AJ200" s="369" t="str">
        <x:f>IF($A200="","",IF(AI200&gt;0,IF(E200="Salla/Zid",AI200*(1-AB200)-AC200-Y200,IF(OR(E200="HungerStation",E200="ToYou",E200="The Chefz"),AI200*(1-AD200)-Y200,AI200-Y200)),""))</x:f>
      </x:c>
      <x:c r="AK200" s="390" t="str">
        <x:f>IF($A200="","",IF(Y200&gt;0,AJ200/Y200,""))</x:f>
      </x:c>
      <x:c r="AL200" s="370"/>
      <x:c r="AM200" s="371"/>
      <x:c r="AN200" s="391"/>
    </x:row>
  </x:sheetData>
  <x:mergeCells>
    <x:mergeCell ref="A1:AF1"/>
    <x:mergeCell ref="A2:AF2"/>
  </x:mergeCells>
  <x:conditionalFormatting sqref="F5:F200">
    <x:cfRule type="expression" dxfId="3" priority="1">
      <x:formula>F5="Live"</x:formula>
    </x:cfRule>
    <x:cfRule type="expression" dxfId="4" priority="2">
      <x:formula>F5="Draft"</x:formula>
    </x:cfRule>
  </x:conditionalFormatting>
  <x:conditionalFormatting sqref="AK5:AK200">
    <x:cfRule type="expression" dxfId="5" priority="3">
      <x:formula>AK5&lt;0.5</x:formula>
    </x:cfRule>
    <x:cfRule type="expression" dxfId="6" priority="4">
      <x:formula>AK5&gt;=0.5</x:formula>
    </x:cfRule>
  </x:conditionalFormatting>
  <x:dataValidations count="3">
    <x:dataValidation type="list" sqref="C5:C200">
      <x:formula1>'Status Lists'!$C$2:$C$7</x:formula1>
    </x:dataValidation>
    <x:dataValidation type="list" sqref="E5:E200">
      <x:formula1>'Status Lists'!$D$2:$D$6</x:formula1>
    </x:dataValidation>
    <x:dataValidation type="list" sqref="F5:F200">
      <x:formula1>'Status Lists'!$B$2:$B$9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6cb84769074e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6" hidden="0" customWidth="1"/>
    <x:col min="5" max="5" width="28" hidden="0" customWidth="1"/>
    <x:col min="6" max="6" width="16" hidden="0" customWidth="1"/>
    <x:col min="7" max="7" width="30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  <x:col min="18" max="18" width="14" hidden="0" customWidth="1"/>
    <x:col min="19" max="19" width="14" hidden="0" customWidth="1"/>
    <x:col min="20" max="20" width="14" hidden="0" customWidth="1"/>
    <x:col min="21" max="21" width="22" hidden="0" customWidth="1"/>
    <x:col min="22" max="22" width="36" hidden="0" customWidth="1"/>
    <x:col min="23" max="23" width="14" hidden="0" customWidth="1"/>
    <x:col min="24" max="24" width="14" hidden="0" customWidth="1"/>
  </x:cols>
  <x:sheetData>
    <x:row r="1" ht="30" customHeight="1">
      <x:c r="A1" s="412" t="str">
        <x:v>Gift Story — Special Gift Story Requests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طلبات القصص الخاصة والتسعير اليدوي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28" t="str">
        <x:v>Request ID</x:v>
      </x:c>
      <x:c r="B4" s="429" t="str">
        <x:v>Customer Name</x:v>
      </x:c>
      <x:c r="C4" s="429" t="str">
        <x:v>Occasion</x:v>
      </x:c>
      <x:c r="D4" s="429" t="str">
        <x:v>Recipient Details</x:v>
      </x:c>
      <x:c r="E4" s="429" t="str">
        <x:v>Requested Style</x:v>
      </x:c>
      <x:c r="F4" s="429" t="str">
        <x:v>Budget Range</x:v>
      </x:c>
      <x:c r="G4" s="429" t="str">
        <x:v>Products Needed</x:v>
      </x:c>
      <x:c r="H4" s="429" t="str">
        <x:v>Estimated Product Cost</x:v>
      </x:c>
      <x:c r="I4" s="429" t="str">
        <x:v>Estimated Packaging Cost</x:v>
      </x:c>
      <x:c r="J4" s="429" t="str">
        <x:v>Estimated Preparation Cost</x:v>
      </x:c>
      <x:c r="K4" s="429" t="str">
        <x:v>Estimated Sourcing Cost</x:v>
      </x:c>
      <x:c r="L4" s="429" t="str">
        <x:v>Total Estimated Cost</x:v>
      </x:c>
      <x:c r="M4" s="429" t="str">
        <x:v>Target Profit</x:v>
      </x:c>
      <x:c r="N4" s="429" t="str">
        <x:v>Minimum Quote</x:v>
      </x:c>
      <x:c r="O4" s="429" t="str">
        <x:v>Quoted Price</x:v>
      </x:c>
      <x:c r="P4" s="429" t="str">
        <x:v>Payment Status</x:v>
      </x:c>
      <x:c r="Q4" s="429" t="str">
        <x:v>Preparation Status</x:v>
      </x:c>
      <x:c r="R4" s="429" t="str">
        <x:v>Delivery City</x:v>
      </x:c>
      <x:c r="S4" s="429" t="str">
        <x:v>Desired Date</x:v>
      </x:c>
      <x:c r="T4" s="429" t="str">
        <x:v>Delivery Date</x:v>
      </x:c>
      <x:c r="U4" s="429" t="str">
        <x:v>Customer Contact</x:v>
      </x:c>
      <x:c r="V4" s="429" t="str">
        <x:v>Notes</x:v>
      </x:c>
      <x:c r="W4" s="429" t="str">
        <x:v>Date Received</x:v>
      </x:c>
      <x:c r="X4" s="430" t="str">
        <x:v>Date Closed</x:v>
      </x:c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361" t="str">
        <x:v>R-0001</x:v>
      </x:c>
      <x:c r="B5" s="362" t="str">
        <x:v>Example Customer</x:v>
      </x:c>
      <x:c r="C5" s="362" t="str">
        <x:v>New Baby</x:v>
      </x:c>
      <x:c r="D5" s="362" t="str">
        <x:v>Baby girl</x:v>
      </x:c>
      <x:c r="E5" s="362" t="str">
        <x:v>Soft nude / premium</x:v>
      </x:c>
      <x:c r="F5" s="362" t="str">
        <x:v>300-500 SAR</x:v>
      </x:c>
      <x:c r="G5" s="362" t="str">
        <x:v>Baby set + small accessory</x:v>
      </x:c>
      <x:c r="H5" s="363" t="n">
        <x:v>150</x:v>
      </x:c>
      <x:c r="I5" s="363" t="n">
        <x:f>IF($A5="","",'Pricing Rules'!$B$5)</x:f>
        <x:v>18</x:v>
      </x:c>
      <x:c r="J5" s="363" t="n">
        <x:v>20</x:v>
      </x:c>
      <x:c r="K5" s="363" t="n">
        <x:v>0</x:v>
      </x:c>
      <x:c r="L5" s="363" t="n">
        <x:f>IF($A5="","",SUM(H5:K5))</x:f>
        <x:v>188</x:v>
      </x:c>
      <x:c r="M5" s="363" t="n">
        <x:f>IF($A5="","",L5*'Pricing Rules'!$B$6)</x:f>
        <x:v>94</x:v>
      </x:c>
      <x:c r="N5" s="363" t="n">
        <x:f>IF($A5="","",L5+M5)</x:f>
        <x:v>282</x:v>
      </x:c>
      <x:c r="O5" s="363" t="n">
        <x:v>349</x:v>
      </x:c>
      <x:c r="P5" s="362" t="str">
        <x:v>Not Sent</x:v>
      </x:c>
      <x:c r="Q5" s="362" t="str">
        <x:v>New</x:v>
      </x:c>
      <x:c r="R5" s="362" t="str">
        <x:v>Jeddah</x:v>
      </x:c>
      <x:c r="S5" s="365"/>
      <x:c r="T5" s="365"/>
      <x:c r="U5" s="362" t="str">
        <x:v>email@example.com</x:v>
      </x:c>
      <x:c r="V5" s="362" t="str">
        <x:v>Example row — replace with actual request.</x:v>
      </x:c>
      <x:c r="W5" s="365" t="n">
        <x:v>46193.712340578706</x:v>
      </x:c>
      <x:c r="X5" s="366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361"/>
      <x:c r="B6" s="362"/>
      <x:c r="C6" s="362"/>
      <x:c r="D6" s="362"/>
      <x:c r="E6" s="362"/>
      <x:c r="F6" s="362"/>
      <x:c r="G6" s="362"/>
      <x:c r="H6" s="363"/>
      <x:c r="I6" s="363" t="str">
        <x:f>IF($A6="","",'Pricing Rules'!$B$5)</x:f>
      </x:c>
      <x:c r="J6" s="363"/>
      <x:c r="K6" s="363"/>
      <x:c r="L6" s="363" t="str">
        <x:f>IF($A6="","",SUM(H6:K6))</x:f>
      </x:c>
      <x:c r="M6" s="363" t="str">
        <x:f>IF($A6="","",L6*'Pricing Rules'!$B$6)</x:f>
      </x:c>
      <x:c r="N6" s="363" t="str">
        <x:f>IF($A6="","",L6+M6)</x:f>
      </x:c>
      <x:c r="O6" s="363"/>
      <x:c r="P6" s="362"/>
      <x:c r="Q6" s="362"/>
      <x:c r="R6" s="362"/>
      <x:c r="S6" s="365"/>
      <x:c r="T6" s="365"/>
      <x:c r="U6" s="362"/>
      <x:c r="V6" s="362"/>
      <x:c r="W6" s="365"/>
      <x:c r="X6" s="366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361"/>
      <x:c r="B7" s="362"/>
      <x:c r="C7" s="362"/>
      <x:c r="D7" s="362"/>
      <x:c r="E7" s="362"/>
      <x:c r="F7" s="362"/>
      <x:c r="G7" s="362"/>
      <x:c r="H7" s="363"/>
      <x:c r="I7" s="363" t="str">
        <x:f>IF($A7="","",'Pricing Rules'!$B$5)</x:f>
      </x:c>
      <x:c r="J7" s="363"/>
      <x:c r="K7" s="363"/>
      <x:c r="L7" s="363" t="str">
        <x:f>IF($A7="","",SUM(H7:K7))</x:f>
      </x:c>
      <x:c r="M7" s="363" t="str">
        <x:f>IF($A7="","",L7*'Pricing Rules'!$B$6)</x:f>
      </x:c>
      <x:c r="N7" s="363" t="str">
        <x:f>IF($A7="","",L7+M7)</x:f>
      </x:c>
      <x:c r="O7" s="363"/>
      <x:c r="P7" s="362"/>
      <x:c r="Q7" s="362"/>
      <x:c r="R7" s="362"/>
      <x:c r="S7" s="365"/>
      <x:c r="T7" s="365"/>
      <x:c r="U7" s="362"/>
      <x:c r="V7" s="362"/>
      <x:c r="W7" s="365"/>
      <x:c r="X7" s="366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361"/>
      <x:c r="B8" s="362"/>
      <x:c r="C8" s="362"/>
      <x:c r="D8" s="362"/>
      <x:c r="E8" s="362"/>
      <x:c r="F8" s="362"/>
      <x:c r="G8" s="362"/>
      <x:c r="H8" s="363"/>
      <x:c r="I8" s="363" t="str">
        <x:f>IF($A8="","",'Pricing Rules'!$B$5)</x:f>
      </x:c>
      <x:c r="J8" s="363"/>
      <x:c r="K8" s="363"/>
      <x:c r="L8" s="363" t="str">
        <x:f>IF($A8="","",SUM(H8:K8))</x:f>
      </x:c>
      <x:c r="M8" s="363" t="str">
        <x:f>IF($A8="","",L8*'Pricing Rules'!$B$6)</x:f>
      </x:c>
      <x:c r="N8" s="363" t="str">
        <x:f>IF($A8="","",L8+M8)</x:f>
      </x:c>
      <x:c r="O8" s="363"/>
      <x:c r="P8" s="362"/>
      <x:c r="Q8" s="362"/>
      <x:c r="R8" s="362"/>
      <x:c r="S8" s="365"/>
      <x:c r="T8" s="365"/>
      <x:c r="U8" s="362"/>
      <x:c r="V8" s="362"/>
      <x:c r="W8" s="365"/>
      <x:c r="X8" s="366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361"/>
      <x:c r="B9" s="362"/>
      <x:c r="C9" s="362"/>
      <x:c r="D9" s="362"/>
      <x:c r="E9" s="362"/>
      <x:c r="F9" s="362"/>
      <x:c r="G9" s="362"/>
      <x:c r="H9" s="363"/>
      <x:c r="I9" s="363" t="str">
        <x:f>IF($A9="","",'Pricing Rules'!$B$5)</x:f>
      </x:c>
      <x:c r="J9" s="363"/>
      <x:c r="K9" s="363"/>
      <x:c r="L9" s="363" t="str">
        <x:f>IF($A9="","",SUM(H9:K9))</x:f>
      </x:c>
      <x:c r="M9" s="363" t="str">
        <x:f>IF($A9="","",L9*'Pricing Rules'!$B$6)</x:f>
      </x:c>
      <x:c r="N9" s="363" t="str">
        <x:f>IF($A9="","",L9+M9)</x:f>
      </x:c>
      <x:c r="O9" s="363"/>
      <x:c r="P9" s="362"/>
      <x:c r="Q9" s="362"/>
      <x:c r="R9" s="362"/>
      <x:c r="S9" s="365"/>
      <x:c r="T9" s="365"/>
      <x:c r="U9" s="362"/>
      <x:c r="V9" s="362"/>
      <x:c r="W9" s="365"/>
      <x:c r="X9" s="366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361"/>
      <x:c r="B10" s="362"/>
      <x:c r="C10" s="362"/>
      <x:c r="D10" s="362"/>
      <x:c r="E10" s="362"/>
      <x:c r="F10" s="362"/>
      <x:c r="G10" s="362"/>
      <x:c r="H10" s="363"/>
      <x:c r="I10" s="363" t="str">
        <x:f>IF($A10="","",'Pricing Rules'!$B$5)</x:f>
      </x:c>
      <x:c r="J10" s="363"/>
      <x:c r="K10" s="363"/>
      <x:c r="L10" s="363" t="str">
        <x:f>IF($A10="","",SUM(H10:K10))</x:f>
      </x:c>
      <x:c r="M10" s="363" t="str">
        <x:f>IF($A10="","",L10*'Pricing Rules'!$B$6)</x:f>
      </x:c>
      <x:c r="N10" s="363" t="str">
        <x:f>IF($A10="","",L10+M10)</x:f>
      </x:c>
      <x:c r="O10" s="363"/>
      <x:c r="P10" s="362"/>
      <x:c r="Q10" s="362"/>
      <x:c r="R10" s="362"/>
      <x:c r="S10" s="365"/>
      <x:c r="T10" s="365"/>
      <x:c r="U10" s="362"/>
      <x:c r="V10" s="362"/>
      <x:c r="W10" s="365"/>
      <x:c r="X10" s="366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361"/>
      <x:c r="B11" s="362"/>
      <x:c r="C11" s="362"/>
      <x:c r="D11" s="362"/>
      <x:c r="E11" s="362"/>
      <x:c r="F11" s="362"/>
      <x:c r="G11" s="362"/>
      <x:c r="H11" s="363"/>
      <x:c r="I11" s="363" t="str">
        <x:f>IF($A11="","",'Pricing Rules'!$B$5)</x:f>
      </x:c>
      <x:c r="J11" s="363"/>
      <x:c r="K11" s="363"/>
      <x:c r="L11" s="363" t="str">
        <x:f>IF($A11="","",SUM(H11:K11))</x:f>
      </x:c>
      <x:c r="M11" s="363" t="str">
        <x:f>IF($A11="","",L11*'Pricing Rules'!$B$6)</x:f>
      </x:c>
      <x:c r="N11" s="363" t="str">
        <x:f>IF($A11="","",L11+M11)</x:f>
      </x:c>
      <x:c r="O11" s="363"/>
      <x:c r="P11" s="362"/>
      <x:c r="Q11" s="362"/>
      <x:c r="R11" s="362"/>
      <x:c r="S11" s="365"/>
      <x:c r="T11" s="365"/>
      <x:c r="U11" s="362"/>
      <x:c r="V11" s="362"/>
      <x:c r="W11" s="365"/>
      <x:c r="X11" s="366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361"/>
      <x:c r="B12" s="362"/>
      <x:c r="C12" s="362"/>
      <x:c r="D12" s="362"/>
      <x:c r="E12" s="362"/>
      <x:c r="F12" s="362"/>
      <x:c r="G12" s="362"/>
      <x:c r="H12" s="363"/>
      <x:c r="I12" s="363" t="str">
        <x:f>IF($A12="","",'Pricing Rules'!$B$5)</x:f>
      </x:c>
      <x:c r="J12" s="363"/>
      <x:c r="K12" s="363"/>
      <x:c r="L12" s="363" t="str">
        <x:f>IF($A12="","",SUM(H12:K12))</x:f>
      </x:c>
      <x:c r="M12" s="363" t="str">
        <x:f>IF($A12="","",L12*'Pricing Rules'!$B$6)</x:f>
      </x:c>
      <x:c r="N12" s="363" t="str">
        <x:f>IF($A12="","",L12+M12)</x:f>
      </x:c>
      <x:c r="O12" s="363"/>
      <x:c r="P12" s="362"/>
      <x:c r="Q12" s="362"/>
      <x:c r="R12" s="362"/>
      <x:c r="S12" s="365"/>
      <x:c r="T12" s="365"/>
      <x:c r="U12" s="362"/>
      <x:c r="V12" s="362"/>
      <x:c r="W12" s="365"/>
      <x:c r="X12" s="366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361"/>
      <x:c r="B13" s="362"/>
      <x:c r="C13" s="362"/>
      <x:c r="D13" s="362"/>
      <x:c r="E13" s="362"/>
      <x:c r="F13" s="362"/>
      <x:c r="G13" s="362"/>
      <x:c r="H13" s="363"/>
      <x:c r="I13" s="363" t="str">
        <x:f>IF($A13="","",'Pricing Rules'!$B$5)</x:f>
      </x:c>
      <x:c r="J13" s="363"/>
      <x:c r="K13" s="363"/>
      <x:c r="L13" s="363" t="str">
        <x:f>IF($A13="","",SUM(H13:K13))</x:f>
      </x:c>
      <x:c r="M13" s="363" t="str">
        <x:f>IF($A13="","",L13*'Pricing Rules'!$B$6)</x:f>
      </x:c>
      <x:c r="N13" s="363" t="str">
        <x:f>IF($A13="","",L13+M13)</x:f>
      </x:c>
      <x:c r="O13" s="363"/>
      <x:c r="P13" s="362"/>
      <x:c r="Q13" s="362"/>
      <x:c r="R13" s="362"/>
      <x:c r="S13" s="365"/>
      <x:c r="T13" s="365"/>
      <x:c r="U13" s="362"/>
      <x:c r="V13" s="362"/>
      <x:c r="W13" s="365"/>
      <x:c r="X13" s="366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361"/>
      <x:c r="B14" s="362"/>
      <x:c r="C14" s="362"/>
      <x:c r="D14" s="362"/>
      <x:c r="E14" s="362"/>
      <x:c r="F14" s="362"/>
      <x:c r="G14" s="362"/>
      <x:c r="H14" s="363"/>
      <x:c r="I14" s="363" t="str">
        <x:f>IF($A14="","",'Pricing Rules'!$B$5)</x:f>
      </x:c>
      <x:c r="J14" s="363"/>
      <x:c r="K14" s="363"/>
      <x:c r="L14" s="363" t="str">
        <x:f>IF($A14="","",SUM(H14:K14))</x:f>
      </x:c>
      <x:c r="M14" s="363" t="str">
        <x:f>IF($A14="","",L14*'Pricing Rules'!$B$6)</x:f>
      </x:c>
      <x:c r="N14" s="363" t="str">
        <x:f>IF($A14="","",L14+M14)</x:f>
      </x:c>
      <x:c r="O14" s="363"/>
      <x:c r="P14" s="362"/>
      <x:c r="Q14" s="362"/>
      <x:c r="R14" s="362"/>
      <x:c r="S14" s="365"/>
      <x:c r="T14" s="365"/>
      <x:c r="U14" s="362"/>
      <x:c r="V14" s="362"/>
      <x:c r="W14" s="365"/>
      <x:c r="X14" s="366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>
      <x:c r="A15" s="361"/>
      <x:c r="B15" s="362"/>
      <x:c r="C15" s="362"/>
      <x:c r="D15" s="362"/>
      <x:c r="E15" s="362"/>
      <x:c r="F15" s="362"/>
      <x:c r="G15" s="362"/>
      <x:c r="H15" s="363"/>
      <x:c r="I15" s="363" t="str">
        <x:f>IF($A15="","",'Pricing Rules'!$B$5)</x:f>
      </x:c>
      <x:c r="J15" s="363"/>
      <x:c r="K15" s="363"/>
      <x:c r="L15" s="363" t="str">
        <x:f>IF($A15="","",SUM(H15:K15))</x:f>
      </x:c>
      <x:c r="M15" s="363" t="str">
        <x:f>IF($A15="","",L15*'Pricing Rules'!$B$6)</x:f>
      </x:c>
      <x:c r="N15" s="363" t="str">
        <x:f>IF($A15="","",L15+M15)</x:f>
      </x:c>
      <x:c r="O15" s="363"/>
      <x:c r="P15" s="362"/>
      <x:c r="Q15" s="362"/>
      <x:c r="R15" s="362"/>
      <x:c r="S15" s="365"/>
      <x:c r="T15" s="365"/>
      <x:c r="U15" s="362"/>
      <x:c r="V15" s="362"/>
      <x:c r="W15" s="365"/>
      <x:c r="X15" s="366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361"/>
      <x:c r="B16" s="362"/>
      <x:c r="C16" s="362"/>
      <x:c r="D16" s="362"/>
      <x:c r="E16" s="362"/>
      <x:c r="F16" s="362"/>
      <x:c r="G16" s="362"/>
      <x:c r="H16" s="363"/>
      <x:c r="I16" s="363" t="str">
        <x:f>IF($A16="","",'Pricing Rules'!$B$5)</x:f>
      </x:c>
      <x:c r="J16" s="363"/>
      <x:c r="K16" s="363"/>
      <x:c r="L16" s="363" t="str">
        <x:f>IF($A16="","",SUM(H16:K16))</x:f>
      </x:c>
      <x:c r="M16" s="363" t="str">
        <x:f>IF($A16="","",L16*'Pricing Rules'!$B$6)</x:f>
      </x:c>
      <x:c r="N16" s="363" t="str">
        <x:f>IF($A16="","",L16+M16)</x:f>
      </x:c>
      <x:c r="O16" s="363"/>
      <x:c r="P16" s="362"/>
      <x:c r="Q16" s="362"/>
      <x:c r="R16" s="362"/>
      <x:c r="S16" s="365"/>
      <x:c r="T16" s="365"/>
      <x:c r="U16" s="362"/>
      <x:c r="V16" s="362"/>
      <x:c r="W16" s="365"/>
      <x:c r="X16" s="366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361"/>
      <x:c r="B17" s="362"/>
      <x:c r="C17" s="362"/>
      <x:c r="D17" s="362"/>
      <x:c r="E17" s="362"/>
      <x:c r="F17" s="362"/>
      <x:c r="G17" s="362"/>
      <x:c r="H17" s="363"/>
      <x:c r="I17" s="363" t="str">
        <x:f>IF($A17="","",'Pricing Rules'!$B$5)</x:f>
      </x:c>
      <x:c r="J17" s="363"/>
      <x:c r="K17" s="363"/>
      <x:c r="L17" s="363" t="str">
        <x:f>IF($A17="","",SUM(H17:K17))</x:f>
      </x:c>
      <x:c r="M17" s="363" t="str">
        <x:f>IF($A17="","",L17*'Pricing Rules'!$B$6)</x:f>
      </x:c>
      <x:c r="N17" s="363" t="str">
        <x:f>IF($A17="","",L17+M17)</x:f>
      </x:c>
      <x:c r="O17" s="363"/>
      <x:c r="P17" s="362"/>
      <x:c r="Q17" s="362"/>
      <x:c r="R17" s="362"/>
      <x:c r="S17" s="365"/>
      <x:c r="T17" s="365"/>
      <x:c r="U17" s="362"/>
      <x:c r="V17" s="362"/>
      <x:c r="W17" s="365"/>
      <x:c r="X17" s="366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361"/>
      <x:c r="B18" s="362"/>
      <x:c r="C18" s="362"/>
      <x:c r="D18" s="362"/>
      <x:c r="E18" s="362"/>
      <x:c r="F18" s="362"/>
      <x:c r="G18" s="362"/>
      <x:c r="H18" s="363"/>
      <x:c r="I18" s="363" t="str">
        <x:f>IF($A18="","",'Pricing Rules'!$B$5)</x:f>
      </x:c>
      <x:c r="J18" s="363"/>
      <x:c r="K18" s="363"/>
      <x:c r="L18" s="363" t="str">
        <x:f>IF($A18="","",SUM(H18:K18))</x:f>
      </x:c>
      <x:c r="M18" s="363" t="str">
        <x:f>IF($A18="","",L18*'Pricing Rules'!$B$6)</x:f>
      </x:c>
      <x:c r="N18" s="363" t="str">
        <x:f>IF($A18="","",L18+M18)</x:f>
      </x:c>
      <x:c r="O18" s="363"/>
      <x:c r="P18" s="362"/>
      <x:c r="Q18" s="362"/>
      <x:c r="R18" s="362"/>
      <x:c r="S18" s="365"/>
      <x:c r="T18" s="365"/>
      <x:c r="U18" s="362"/>
      <x:c r="V18" s="362"/>
      <x:c r="W18" s="365"/>
      <x:c r="X18" s="366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361"/>
      <x:c r="B19" s="362"/>
      <x:c r="C19" s="362"/>
      <x:c r="D19" s="362"/>
      <x:c r="E19" s="362"/>
      <x:c r="F19" s="362"/>
      <x:c r="G19" s="362"/>
      <x:c r="H19" s="363"/>
      <x:c r="I19" s="363" t="str">
        <x:f>IF($A19="","",'Pricing Rules'!$B$5)</x:f>
      </x:c>
      <x:c r="J19" s="363"/>
      <x:c r="K19" s="363"/>
      <x:c r="L19" s="363" t="str">
        <x:f>IF($A19="","",SUM(H19:K19))</x:f>
      </x:c>
      <x:c r="M19" s="363" t="str">
        <x:f>IF($A19="","",L19*'Pricing Rules'!$B$6)</x:f>
      </x:c>
      <x:c r="N19" s="363" t="str">
        <x:f>IF($A19="","",L19+M19)</x:f>
      </x:c>
      <x:c r="O19" s="363"/>
      <x:c r="P19" s="362"/>
      <x:c r="Q19" s="362"/>
      <x:c r="R19" s="362"/>
      <x:c r="S19" s="365"/>
      <x:c r="T19" s="365"/>
      <x:c r="U19" s="362"/>
      <x:c r="V19" s="362"/>
      <x:c r="W19" s="365"/>
      <x:c r="X19" s="366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361"/>
      <x:c r="B20" s="362"/>
      <x:c r="C20" s="362"/>
      <x:c r="D20" s="362"/>
      <x:c r="E20" s="362"/>
      <x:c r="F20" s="362"/>
      <x:c r="G20" s="362"/>
      <x:c r="H20" s="363"/>
      <x:c r="I20" s="363" t="str">
        <x:f>IF($A20="","",'Pricing Rules'!$B$5)</x:f>
      </x:c>
      <x:c r="J20" s="363"/>
      <x:c r="K20" s="363"/>
      <x:c r="L20" s="363" t="str">
        <x:f>IF($A20="","",SUM(H20:K20))</x:f>
      </x:c>
      <x:c r="M20" s="363" t="str">
        <x:f>IF($A20="","",L20*'Pricing Rules'!$B$6)</x:f>
      </x:c>
      <x:c r="N20" s="363" t="str">
        <x:f>IF($A20="","",L20+M20)</x:f>
      </x:c>
      <x:c r="O20" s="363"/>
      <x:c r="P20" s="362"/>
      <x:c r="Q20" s="362"/>
      <x:c r="R20" s="362"/>
      <x:c r="S20" s="365"/>
      <x:c r="T20" s="365"/>
      <x:c r="U20" s="362"/>
      <x:c r="V20" s="362"/>
      <x:c r="W20" s="365"/>
      <x:c r="X20" s="366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361"/>
      <x:c r="B21" s="362"/>
      <x:c r="C21" s="362"/>
      <x:c r="D21" s="362"/>
      <x:c r="E21" s="362"/>
      <x:c r="F21" s="362"/>
      <x:c r="G21" s="362"/>
      <x:c r="H21" s="363"/>
      <x:c r="I21" s="363" t="str">
        <x:f>IF($A21="","",'Pricing Rules'!$B$5)</x:f>
      </x:c>
      <x:c r="J21" s="363"/>
      <x:c r="K21" s="363"/>
      <x:c r="L21" s="363" t="str">
        <x:f>IF($A21="","",SUM(H21:K21))</x:f>
      </x:c>
      <x:c r="M21" s="363" t="str">
        <x:f>IF($A21="","",L21*'Pricing Rules'!$B$6)</x:f>
      </x:c>
      <x:c r="N21" s="363" t="str">
        <x:f>IF($A21="","",L21+M21)</x:f>
      </x:c>
      <x:c r="O21" s="363"/>
      <x:c r="P21" s="362"/>
      <x:c r="Q21" s="362"/>
      <x:c r="R21" s="362"/>
      <x:c r="S21" s="365"/>
      <x:c r="T21" s="365"/>
      <x:c r="U21" s="362"/>
      <x:c r="V21" s="362"/>
      <x:c r="W21" s="365"/>
      <x:c r="X21" s="366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361"/>
      <x:c r="B22" s="362"/>
      <x:c r="C22" s="362"/>
      <x:c r="D22" s="362"/>
      <x:c r="E22" s="362"/>
      <x:c r="F22" s="362"/>
      <x:c r="G22" s="362"/>
      <x:c r="H22" s="363"/>
      <x:c r="I22" s="363" t="str">
        <x:f>IF($A22="","",'Pricing Rules'!$B$5)</x:f>
      </x:c>
      <x:c r="J22" s="363"/>
      <x:c r="K22" s="363"/>
      <x:c r="L22" s="363" t="str">
        <x:f>IF($A22="","",SUM(H22:K22))</x:f>
      </x:c>
      <x:c r="M22" s="363" t="str">
        <x:f>IF($A22="","",L22*'Pricing Rules'!$B$6)</x:f>
      </x:c>
      <x:c r="N22" s="363" t="str">
        <x:f>IF($A22="","",L22+M22)</x:f>
      </x:c>
      <x:c r="O22" s="363"/>
      <x:c r="P22" s="362"/>
      <x:c r="Q22" s="362"/>
      <x:c r="R22" s="362"/>
      <x:c r="S22" s="365"/>
      <x:c r="T22" s="365"/>
      <x:c r="U22" s="362"/>
      <x:c r="V22" s="362"/>
      <x:c r="W22" s="365"/>
      <x:c r="X22" s="366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361"/>
      <x:c r="B23" s="362"/>
      <x:c r="C23" s="362"/>
      <x:c r="D23" s="362"/>
      <x:c r="E23" s="362"/>
      <x:c r="F23" s="362"/>
      <x:c r="G23" s="362"/>
      <x:c r="H23" s="363"/>
      <x:c r="I23" s="363" t="str">
        <x:f>IF($A23="","",'Pricing Rules'!$B$5)</x:f>
      </x:c>
      <x:c r="J23" s="363"/>
      <x:c r="K23" s="363"/>
      <x:c r="L23" s="363" t="str">
        <x:f>IF($A23="","",SUM(H23:K23))</x:f>
      </x:c>
      <x:c r="M23" s="363" t="str">
        <x:f>IF($A23="","",L23*'Pricing Rules'!$B$6)</x:f>
      </x:c>
      <x:c r="N23" s="363" t="str">
        <x:f>IF($A23="","",L23+M23)</x:f>
      </x:c>
      <x:c r="O23" s="363"/>
      <x:c r="P23" s="362"/>
      <x:c r="Q23" s="362"/>
      <x:c r="R23" s="362"/>
      <x:c r="S23" s="365"/>
      <x:c r="T23" s="365"/>
      <x:c r="U23" s="362"/>
      <x:c r="V23" s="362"/>
      <x:c r="W23" s="365"/>
      <x:c r="X23" s="366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361"/>
      <x:c r="B24" s="362"/>
      <x:c r="C24" s="362"/>
      <x:c r="D24" s="362"/>
      <x:c r="E24" s="362"/>
      <x:c r="F24" s="362"/>
      <x:c r="G24" s="362"/>
      <x:c r="H24" s="363"/>
      <x:c r="I24" s="363" t="str">
        <x:f>IF($A24="","",'Pricing Rules'!$B$5)</x:f>
      </x:c>
      <x:c r="J24" s="363"/>
      <x:c r="K24" s="363"/>
      <x:c r="L24" s="363" t="str">
        <x:f>IF($A24="","",SUM(H24:K24))</x:f>
      </x:c>
      <x:c r="M24" s="363" t="str">
        <x:f>IF($A24="","",L24*'Pricing Rules'!$B$6)</x:f>
      </x:c>
      <x:c r="N24" s="363" t="str">
        <x:f>IF($A24="","",L24+M24)</x:f>
      </x:c>
      <x:c r="O24" s="363"/>
      <x:c r="P24" s="362"/>
      <x:c r="Q24" s="362"/>
      <x:c r="R24" s="362"/>
      <x:c r="S24" s="365"/>
      <x:c r="T24" s="365"/>
      <x:c r="U24" s="362"/>
      <x:c r="V24" s="362"/>
      <x:c r="W24" s="365"/>
      <x:c r="X24" s="366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361"/>
      <x:c r="B25" s="362"/>
      <x:c r="C25" s="362"/>
      <x:c r="D25" s="362"/>
      <x:c r="E25" s="362"/>
      <x:c r="F25" s="362"/>
      <x:c r="G25" s="362"/>
      <x:c r="H25" s="363"/>
      <x:c r="I25" s="363" t="str">
        <x:f>IF($A25="","",'Pricing Rules'!$B$5)</x:f>
      </x:c>
      <x:c r="J25" s="363"/>
      <x:c r="K25" s="363"/>
      <x:c r="L25" s="363" t="str">
        <x:f>IF($A25="","",SUM(H25:K25))</x:f>
      </x:c>
      <x:c r="M25" s="363" t="str">
        <x:f>IF($A25="","",L25*'Pricing Rules'!$B$6)</x:f>
      </x:c>
      <x:c r="N25" s="363" t="str">
        <x:f>IF($A25="","",L25+M25)</x:f>
      </x:c>
      <x:c r="O25" s="363"/>
      <x:c r="P25" s="362"/>
      <x:c r="Q25" s="362"/>
      <x:c r="R25" s="362"/>
      <x:c r="S25" s="365"/>
      <x:c r="T25" s="365"/>
      <x:c r="U25" s="362"/>
      <x:c r="V25" s="362"/>
      <x:c r="W25" s="365"/>
      <x:c r="X25" s="366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361"/>
      <x:c r="B26" s="362"/>
      <x:c r="C26" s="362"/>
      <x:c r="D26" s="362"/>
      <x:c r="E26" s="362"/>
      <x:c r="F26" s="362"/>
      <x:c r="G26" s="362"/>
      <x:c r="H26" s="363"/>
      <x:c r="I26" s="363" t="str">
        <x:f>IF($A26="","",'Pricing Rules'!$B$5)</x:f>
      </x:c>
      <x:c r="J26" s="363"/>
      <x:c r="K26" s="363"/>
      <x:c r="L26" s="363" t="str">
        <x:f>IF($A26="","",SUM(H26:K26))</x:f>
      </x:c>
      <x:c r="M26" s="363" t="str">
        <x:f>IF($A26="","",L26*'Pricing Rules'!$B$6)</x:f>
      </x:c>
      <x:c r="N26" s="363" t="str">
        <x:f>IF($A26="","",L26+M26)</x:f>
      </x:c>
      <x:c r="O26" s="363"/>
      <x:c r="P26" s="362"/>
      <x:c r="Q26" s="362"/>
      <x:c r="R26" s="362"/>
      <x:c r="S26" s="365"/>
      <x:c r="T26" s="365"/>
      <x:c r="U26" s="362"/>
      <x:c r="V26" s="362"/>
      <x:c r="W26" s="365"/>
      <x:c r="X26" s="366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361"/>
      <x:c r="B27" s="362"/>
      <x:c r="C27" s="362"/>
      <x:c r="D27" s="362"/>
      <x:c r="E27" s="362"/>
      <x:c r="F27" s="362"/>
      <x:c r="G27" s="362"/>
      <x:c r="H27" s="363"/>
      <x:c r="I27" s="363" t="str">
        <x:f>IF($A27="","",'Pricing Rules'!$B$5)</x:f>
      </x:c>
      <x:c r="J27" s="363"/>
      <x:c r="K27" s="363"/>
      <x:c r="L27" s="363" t="str">
        <x:f>IF($A27="","",SUM(H27:K27))</x:f>
      </x:c>
      <x:c r="M27" s="363" t="str">
        <x:f>IF($A27="","",L27*'Pricing Rules'!$B$6)</x:f>
      </x:c>
      <x:c r="N27" s="363" t="str">
        <x:f>IF($A27="","",L27+M27)</x:f>
      </x:c>
      <x:c r="O27" s="363"/>
      <x:c r="P27" s="362"/>
      <x:c r="Q27" s="362"/>
      <x:c r="R27" s="362"/>
      <x:c r="S27" s="365"/>
      <x:c r="T27" s="365"/>
      <x:c r="U27" s="362"/>
      <x:c r="V27" s="362"/>
      <x:c r="W27" s="365"/>
      <x:c r="X27" s="366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361"/>
      <x:c r="B28" s="362"/>
      <x:c r="C28" s="362"/>
      <x:c r="D28" s="362"/>
      <x:c r="E28" s="362"/>
      <x:c r="F28" s="362"/>
      <x:c r="G28" s="362"/>
      <x:c r="H28" s="363"/>
      <x:c r="I28" s="363" t="str">
        <x:f>IF($A28="","",'Pricing Rules'!$B$5)</x:f>
      </x:c>
      <x:c r="J28" s="363"/>
      <x:c r="K28" s="363"/>
      <x:c r="L28" s="363" t="str">
        <x:f>IF($A28="","",SUM(H28:K28))</x:f>
      </x:c>
      <x:c r="M28" s="363" t="str">
        <x:f>IF($A28="","",L28*'Pricing Rules'!$B$6)</x:f>
      </x:c>
      <x:c r="N28" s="363" t="str">
        <x:f>IF($A28="","",L28+M28)</x:f>
      </x:c>
      <x:c r="O28" s="363"/>
      <x:c r="P28" s="362"/>
      <x:c r="Q28" s="362"/>
      <x:c r="R28" s="362"/>
      <x:c r="S28" s="365"/>
      <x:c r="T28" s="365"/>
      <x:c r="U28" s="362"/>
      <x:c r="V28" s="362"/>
      <x:c r="W28" s="365"/>
      <x:c r="X28" s="366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361"/>
      <x:c r="B29" s="362"/>
      <x:c r="C29" s="362"/>
      <x:c r="D29" s="362"/>
      <x:c r="E29" s="362"/>
      <x:c r="F29" s="362"/>
      <x:c r="G29" s="362"/>
      <x:c r="H29" s="363"/>
      <x:c r="I29" s="363" t="str">
        <x:f>IF($A29="","",'Pricing Rules'!$B$5)</x:f>
      </x:c>
      <x:c r="J29" s="363"/>
      <x:c r="K29" s="363"/>
      <x:c r="L29" s="363" t="str">
        <x:f>IF($A29="","",SUM(H29:K29))</x:f>
      </x:c>
      <x:c r="M29" s="363" t="str">
        <x:f>IF($A29="","",L29*'Pricing Rules'!$B$6)</x:f>
      </x:c>
      <x:c r="N29" s="363" t="str">
        <x:f>IF($A29="","",L29+M29)</x:f>
      </x:c>
      <x:c r="O29" s="363"/>
      <x:c r="P29" s="362"/>
      <x:c r="Q29" s="362"/>
      <x:c r="R29" s="362"/>
      <x:c r="S29" s="365"/>
      <x:c r="T29" s="365"/>
      <x:c r="U29" s="362"/>
      <x:c r="V29" s="362"/>
      <x:c r="W29" s="365"/>
      <x:c r="X29" s="366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361"/>
      <x:c r="B30" s="362"/>
      <x:c r="C30" s="362"/>
      <x:c r="D30" s="362"/>
      <x:c r="E30" s="362"/>
      <x:c r="F30" s="362"/>
      <x:c r="G30" s="362"/>
      <x:c r="H30" s="363"/>
      <x:c r="I30" s="363" t="str">
        <x:f>IF($A30="","",'Pricing Rules'!$B$5)</x:f>
      </x:c>
      <x:c r="J30" s="363"/>
      <x:c r="K30" s="363"/>
      <x:c r="L30" s="363" t="str">
        <x:f>IF($A30="","",SUM(H30:K30))</x:f>
      </x:c>
      <x:c r="M30" s="363" t="str">
        <x:f>IF($A30="","",L30*'Pricing Rules'!$B$6)</x:f>
      </x:c>
      <x:c r="N30" s="363" t="str">
        <x:f>IF($A30="","",L30+M30)</x:f>
      </x:c>
      <x:c r="O30" s="363"/>
      <x:c r="P30" s="362"/>
      <x:c r="Q30" s="362"/>
      <x:c r="R30" s="362"/>
      <x:c r="S30" s="365"/>
      <x:c r="T30" s="365"/>
      <x:c r="U30" s="362"/>
      <x:c r="V30" s="362"/>
      <x:c r="W30" s="365"/>
      <x:c r="X30" s="366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361"/>
      <x:c r="B31" s="362"/>
      <x:c r="C31" s="362"/>
      <x:c r="D31" s="362"/>
      <x:c r="E31" s="362"/>
      <x:c r="F31" s="362"/>
      <x:c r="G31" s="362"/>
      <x:c r="H31" s="363"/>
      <x:c r="I31" s="363" t="str">
        <x:f>IF($A31="","",'Pricing Rules'!$B$5)</x:f>
      </x:c>
      <x:c r="J31" s="363"/>
      <x:c r="K31" s="363"/>
      <x:c r="L31" s="363" t="str">
        <x:f>IF($A31="","",SUM(H31:K31))</x:f>
      </x:c>
      <x:c r="M31" s="363" t="str">
        <x:f>IF($A31="","",L31*'Pricing Rules'!$B$6)</x:f>
      </x:c>
      <x:c r="N31" s="363" t="str">
        <x:f>IF($A31="","",L31+M31)</x:f>
      </x:c>
      <x:c r="O31" s="363"/>
      <x:c r="P31" s="362"/>
      <x:c r="Q31" s="362"/>
      <x:c r="R31" s="362"/>
      <x:c r="S31" s="365"/>
      <x:c r="T31" s="365"/>
      <x:c r="U31" s="362"/>
      <x:c r="V31" s="362"/>
      <x:c r="W31" s="365"/>
      <x:c r="X31" s="366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361"/>
      <x:c r="B32" s="362"/>
      <x:c r="C32" s="362"/>
      <x:c r="D32" s="362"/>
      <x:c r="E32" s="362"/>
      <x:c r="F32" s="362"/>
      <x:c r="G32" s="362"/>
      <x:c r="H32" s="363"/>
      <x:c r="I32" s="363" t="str">
        <x:f>IF($A32="","",'Pricing Rules'!$B$5)</x:f>
      </x:c>
      <x:c r="J32" s="363"/>
      <x:c r="K32" s="363"/>
      <x:c r="L32" s="363" t="str">
        <x:f>IF($A32="","",SUM(H32:K32))</x:f>
      </x:c>
      <x:c r="M32" s="363" t="str">
        <x:f>IF($A32="","",L32*'Pricing Rules'!$B$6)</x:f>
      </x:c>
      <x:c r="N32" s="363" t="str">
        <x:f>IF($A32="","",L32+M32)</x:f>
      </x:c>
      <x:c r="O32" s="363"/>
      <x:c r="P32" s="362"/>
      <x:c r="Q32" s="362"/>
      <x:c r="R32" s="362"/>
      <x:c r="S32" s="365"/>
      <x:c r="T32" s="365"/>
      <x:c r="U32" s="362"/>
      <x:c r="V32" s="362"/>
      <x:c r="W32" s="365"/>
      <x:c r="X32" s="366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361"/>
      <x:c r="B33" s="362"/>
      <x:c r="C33" s="362"/>
      <x:c r="D33" s="362"/>
      <x:c r="E33" s="362"/>
      <x:c r="F33" s="362"/>
      <x:c r="G33" s="362"/>
      <x:c r="H33" s="363"/>
      <x:c r="I33" s="363" t="str">
        <x:f>IF($A33="","",'Pricing Rules'!$B$5)</x:f>
      </x:c>
      <x:c r="J33" s="363"/>
      <x:c r="K33" s="363"/>
      <x:c r="L33" s="363" t="str">
        <x:f>IF($A33="","",SUM(H33:K33))</x:f>
      </x:c>
      <x:c r="M33" s="363" t="str">
        <x:f>IF($A33="","",L33*'Pricing Rules'!$B$6)</x:f>
      </x:c>
      <x:c r="N33" s="363" t="str">
        <x:f>IF($A33="","",L33+M33)</x:f>
      </x:c>
      <x:c r="O33" s="363"/>
      <x:c r="P33" s="362"/>
      <x:c r="Q33" s="362"/>
      <x:c r="R33" s="362"/>
      <x:c r="S33" s="365"/>
      <x:c r="T33" s="365"/>
      <x:c r="U33" s="362"/>
      <x:c r="V33" s="362"/>
      <x:c r="W33" s="365"/>
      <x:c r="X33" s="366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361"/>
      <x:c r="B34" s="362"/>
      <x:c r="C34" s="362"/>
      <x:c r="D34" s="362"/>
      <x:c r="E34" s="362"/>
      <x:c r="F34" s="362"/>
      <x:c r="G34" s="362"/>
      <x:c r="H34" s="363"/>
      <x:c r="I34" s="363" t="str">
        <x:f>IF($A34="","",'Pricing Rules'!$B$5)</x:f>
      </x:c>
      <x:c r="J34" s="363"/>
      <x:c r="K34" s="363"/>
      <x:c r="L34" s="363" t="str">
        <x:f>IF($A34="","",SUM(H34:K34))</x:f>
      </x:c>
      <x:c r="M34" s="363" t="str">
        <x:f>IF($A34="","",L34*'Pricing Rules'!$B$6)</x:f>
      </x:c>
      <x:c r="N34" s="363" t="str">
        <x:f>IF($A34="","",L34+M34)</x:f>
      </x:c>
      <x:c r="O34" s="363"/>
      <x:c r="P34" s="362"/>
      <x:c r="Q34" s="362"/>
      <x:c r="R34" s="362"/>
      <x:c r="S34" s="365"/>
      <x:c r="T34" s="365"/>
      <x:c r="U34" s="362"/>
      <x:c r="V34" s="362"/>
      <x:c r="W34" s="365"/>
      <x:c r="X34" s="366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361"/>
      <x:c r="B35" s="362"/>
      <x:c r="C35" s="362"/>
      <x:c r="D35" s="362"/>
      <x:c r="E35" s="362"/>
      <x:c r="F35" s="362"/>
      <x:c r="G35" s="362"/>
      <x:c r="H35" s="363"/>
      <x:c r="I35" s="363" t="str">
        <x:f>IF($A35="","",'Pricing Rules'!$B$5)</x:f>
      </x:c>
      <x:c r="J35" s="363"/>
      <x:c r="K35" s="363"/>
      <x:c r="L35" s="363" t="str">
        <x:f>IF($A35="","",SUM(H35:K35))</x:f>
      </x:c>
      <x:c r="M35" s="363" t="str">
        <x:f>IF($A35="","",L35*'Pricing Rules'!$B$6)</x:f>
      </x:c>
      <x:c r="N35" s="363" t="str">
        <x:f>IF($A35="","",L35+M35)</x:f>
      </x:c>
      <x:c r="O35" s="363"/>
      <x:c r="P35" s="362"/>
      <x:c r="Q35" s="362"/>
      <x:c r="R35" s="362"/>
      <x:c r="S35" s="365"/>
      <x:c r="T35" s="365"/>
      <x:c r="U35" s="362"/>
      <x:c r="V35" s="362"/>
      <x:c r="W35" s="365"/>
      <x:c r="X35" s="366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361"/>
      <x:c r="B36" s="362"/>
      <x:c r="C36" s="362"/>
      <x:c r="D36" s="362"/>
      <x:c r="E36" s="362"/>
      <x:c r="F36" s="362"/>
      <x:c r="G36" s="362"/>
      <x:c r="H36" s="363"/>
      <x:c r="I36" s="363" t="str">
        <x:f>IF($A36="","",'Pricing Rules'!$B$5)</x:f>
      </x:c>
      <x:c r="J36" s="363"/>
      <x:c r="K36" s="363"/>
      <x:c r="L36" s="363" t="str">
        <x:f>IF($A36="","",SUM(H36:K36))</x:f>
      </x:c>
      <x:c r="M36" s="363" t="str">
        <x:f>IF($A36="","",L36*'Pricing Rules'!$B$6)</x:f>
      </x:c>
      <x:c r="N36" s="363" t="str">
        <x:f>IF($A36="","",L36+M36)</x:f>
      </x:c>
      <x:c r="O36" s="363"/>
      <x:c r="P36" s="362"/>
      <x:c r="Q36" s="362"/>
      <x:c r="R36" s="362"/>
      <x:c r="S36" s="365"/>
      <x:c r="T36" s="365"/>
      <x:c r="U36" s="362"/>
      <x:c r="V36" s="362"/>
      <x:c r="W36" s="365"/>
      <x:c r="X36" s="366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361"/>
      <x:c r="B37" s="362"/>
      <x:c r="C37" s="362"/>
      <x:c r="D37" s="362"/>
      <x:c r="E37" s="362"/>
      <x:c r="F37" s="362"/>
      <x:c r="G37" s="362"/>
      <x:c r="H37" s="363"/>
      <x:c r="I37" s="363" t="str">
        <x:f>IF($A37="","",'Pricing Rules'!$B$5)</x:f>
      </x:c>
      <x:c r="J37" s="363"/>
      <x:c r="K37" s="363"/>
      <x:c r="L37" s="363" t="str">
        <x:f>IF($A37="","",SUM(H37:K37))</x:f>
      </x:c>
      <x:c r="M37" s="363" t="str">
        <x:f>IF($A37="","",L37*'Pricing Rules'!$B$6)</x:f>
      </x:c>
      <x:c r="N37" s="363" t="str">
        <x:f>IF($A37="","",L37+M37)</x:f>
      </x:c>
      <x:c r="O37" s="363"/>
      <x:c r="P37" s="362"/>
      <x:c r="Q37" s="362"/>
      <x:c r="R37" s="362"/>
      <x:c r="S37" s="365"/>
      <x:c r="T37" s="365"/>
      <x:c r="U37" s="362"/>
      <x:c r="V37" s="362"/>
      <x:c r="W37" s="365"/>
      <x:c r="X37" s="366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361"/>
      <x:c r="B38" s="362"/>
      <x:c r="C38" s="362"/>
      <x:c r="D38" s="362"/>
      <x:c r="E38" s="362"/>
      <x:c r="F38" s="362"/>
      <x:c r="G38" s="362"/>
      <x:c r="H38" s="363"/>
      <x:c r="I38" s="363" t="str">
        <x:f>IF($A38="","",'Pricing Rules'!$B$5)</x:f>
      </x:c>
      <x:c r="J38" s="363"/>
      <x:c r="K38" s="363"/>
      <x:c r="L38" s="363" t="str">
        <x:f>IF($A38="","",SUM(H38:K38))</x:f>
      </x:c>
      <x:c r="M38" s="363" t="str">
        <x:f>IF($A38="","",L38*'Pricing Rules'!$B$6)</x:f>
      </x:c>
      <x:c r="N38" s="363" t="str">
        <x:f>IF($A38="","",L38+M38)</x:f>
      </x:c>
      <x:c r="O38" s="363"/>
      <x:c r="P38" s="362"/>
      <x:c r="Q38" s="362"/>
      <x:c r="R38" s="362"/>
      <x:c r="S38" s="365"/>
      <x:c r="T38" s="365"/>
      <x:c r="U38" s="362"/>
      <x:c r="V38" s="362"/>
      <x:c r="W38" s="365"/>
      <x:c r="X38" s="366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361"/>
      <x:c r="B39" s="362"/>
      <x:c r="C39" s="362"/>
      <x:c r="D39" s="362"/>
      <x:c r="E39" s="362"/>
      <x:c r="F39" s="362"/>
      <x:c r="G39" s="362"/>
      <x:c r="H39" s="363"/>
      <x:c r="I39" s="363" t="str">
        <x:f>IF($A39="","",'Pricing Rules'!$B$5)</x:f>
      </x:c>
      <x:c r="J39" s="363"/>
      <x:c r="K39" s="363"/>
      <x:c r="L39" s="363" t="str">
        <x:f>IF($A39="","",SUM(H39:K39))</x:f>
      </x:c>
      <x:c r="M39" s="363" t="str">
        <x:f>IF($A39="","",L39*'Pricing Rules'!$B$6)</x:f>
      </x:c>
      <x:c r="N39" s="363" t="str">
        <x:f>IF($A39="","",L39+M39)</x:f>
      </x:c>
      <x:c r="O39" s="363"/>
      <x:c r="P39" s="362"/>
      <x:c r="Q39" s="362"/>
      <x:c r="R39" s="362"/>
      <x:c r="S39" s="365"/>
      <x:c r="T39" s="365"/>
      <x:c r="U39" s="362"/>
      <x:c r="V39" s="362"/>
      <x:c r="W39" s="365"/>
      <x:c r="X39" s="366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361"/>
      <x:c r="B40" s="362"/>
      <x:c r="C40" s="362"/>
      <x:c r="D40" s="362"/>
      <x:c r="E40" s="362"/>
      <x:c r="F40" s="362"/>
      <x:c r="G40" s="362"/>
      <x:c r="H40" s="363"/>
      <x:c r="I40" s="363" t="str">
        <x:f>IF($A40="","",'Pricing Rules'!$B$5)</x:f>
      </x:c>
      <x:c r="J40" s="363"/>
      <x:c r="K40" s="363"/>
      <x:c r="L40" s="363" t="str">
        <x:f>IF($A40="","",SUM(H40:K40))</x:f>
      </x:c>
      <x:c r="M40" s="363" t="str">
        <x:f>IF($A40="","",L40*'Pricing Rules'!$B$6)</x:f>
      </x:c>
      <x:c r="N40" s="363" t="str">
        <x:f>IF($A40="","",L40+M40)</x:f>
      </x:c>
      <x:c r="O40" s="363"/>
      <x:c r="P40" s="362"/>
      <x:c r="Q40" s="362"/>
      <x:c r="R40" s="362"/>
      <x:c r="S40" s="365"/>
      <x:c r="T40" s="365"/>
      <x:c r="U40" s="362"/>
      <x:c r="V40" s="362"/>
      <x:c r="W40" s="365"/>
      <x:c r="X40" s="366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361"/>
      <x:c r="B41" s="362"/>
      <x:c r="C41" s="362"/>
      <x:c r="D41" s="362"/>
      <x:c r="E41" s="362"/>
      <x:c r="F41" s="362"/>
      <x:c r="G41" s="362"/>
      <x:c r="H41" s="363"/>
      <x:c r="I41" s="363" t="str">
        <x:f>IF($A41="","",'Pricing Rules'!$B$5)</x:f>
      </x:c>
      <x:c r="J41" s="363"/>
      <x:c r="K41" s="363"/>
      <x:c r="L41" s="363" t="str">
        <x:f>IF($A41="","",SUM(H41:K41))</x:f>
      </x:c>
      <x:c r="M41" s="363" t="str">
        <x:f>IF($A41="","",L41*'Pricing Rules'!$B$6)</x:f>
      </x:c>
      <x:c r="N41" s="363" t="str">
        <x:f>IF($A41="","",L41+M41)</x:f>
      </x:c>
      <x:c r="O41" s="363"/>
      <x:c r="P41" s="362"/>
      <x:c r="Q41" s="362"/>
      <x:c r="R41" s="362"/>
      <x:c r="S41" s="365"/>
      <x:c r="T41" s="365"/>
      <x:c r="U41" s="362"/>
      <x:c r="V41" s="362"/>
      <x:c r="W41" s="365"/>
      <x:c r="X41" s="366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361"/>
      <x:c r="B42" s="362"/>
      <x:c r="C42" s="362"/>
      <x:c r="D42" s="362"/>
      <x:c r="E42" s="362"/>
      <x:c r="F42" s="362"/>
      <x:c r="G42" s="362"/>
      <x:c r="H42" s="363"/>
      <x:c r="I42" s="363" t="str">
        <x:f>IF($A42="","",'Pricing Rules'!$B$5)</x:f>
      </x:c>
      <x:c r="J42" s="363"/>
      <x:c r="K42" s="363"/>
      <x:c r="L42" s="363" t="str">
        <x:f>IF($A42="","",SUM(H42:K42))</x:f>
      </x:c>
      <x:c r="M42" s="363" t="str">
        <x:f>IF($A42="","",L42*'Pricing Rules'!$B$6)</x:f>
      </x:c>
      <x:c r="N42" s="363" t="str">
        <x:f>IF($A42="","",L42+M42)</x:f>
      </x:c>
      <x:c r="O42" s="363"/>
      <x:c r="P42" s="362"/>
      <x:c r="Q42" s="362"/>
      <x:c r="R42" s="362"/>
      <x:c r="S42" s="365"/>
      <x:c r="T42" s="365"/>
      <x:c r="U42" s="362"/>
      <x:c r="V42" s="362"/>
      <x:c r="W42" s="365"/>
      <x:c r="X42" s="366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361"/>
      <x:c r="B43" s="362"/>
      <x:c r="C43" s="362"/>
      <x:c r="D43" s="362"/>
      <x:c r="E43" s="362"/>
      <x:c r="F43" s="362"/>
      <x:c r="G43" s="362"/>
      <x:c r="H43" s="363"/>
      <x:c r="I43" s="363" t="str">
        <x:f>IF($A43="","",'Pricing Rules'!$B$5)</x:f>
      </x:c>
      <x:c r="J43" s="363"/>
      <x:c r="K43" s="363"/>
      <x:c r="L43" s="363" t="str">
        <x:f>IF($A43="","",SUM(H43:K43))</x:f>
      </x:c>
      <x:c r="M43" s="363" t="str">
        <x:f>IF($A43="","",L43*'Pricing Rules'!$B$6)</x:f>
      </x:c>
      <x:c r="N43" s="363" t="str">
        <x:f>IF($A43="","",L43+M43)</x:f>
      </x:c>
      <x:c r="O43" s="363"/>
      <x:c r="P43" s="362"/>
      <x:c r="Q43" s="362"/>
      <x:c r="R43" s="362"/>
      <x:c r="S43" s="365"/>
      <x:c r="T43" s="365"/>
      <x:c r="U43" s="362"/>
      <x:c r="V43" s="362"/>
      <x:c r="W43" s="365"/>
      <x:c r="X43" s="366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361"/>
      <x:c r="B44" s="362"/>
      <x:c r="C44" s="362"/>
      <x:c r="D44" s="362"/>
      <x:c r="E44" s="362"/>
      <x:c r="F44" s="362"/>
      <x:c r="G44" s="362"/>
      <x:c r="H44" s="363"/>
      <x:c r="I44" s="363" t="str">
        <x:f>IF($A44="","",'Pricing Rules'!$B$5)</x:f>
      </x:c>
      <x:c r="J44" s="363"/>
      <x:c r="K44" s="363"/>
      <x:c r="L44" s="363" t="str">
        <x:f>IF($A44="","",SUM(H44:K44))</x:f>
      </x:c>
      <x:c r="M44" s="363" t="str">
        <x:f>IF($A44="","",L44*'Pricing Rules'!$B$6)</x:f>
      </x:c>
      <x:c r="N44" s="363" t="str">
        <x:f>IF($A44="","",L44+M44)</x:f>
      </x:c>
      <x:c r="O44" s="363"/>
      <x:c r="P44" s="362"/>
      <x:c r="Q44" s="362"/>
      <x:c r="R44" s="362"/>
      <x:c r="S44" s="365"/>
      <x:c r="T44" s="365"/>
      <x:c r="U44" s="362"/>
      <x:c r="V44" s="362"/>
      <x:c r="W44" s="365"/>
      <x:c r="X44" s="366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361"/>
      <x:c r="B45" s="362"/>
      <x:c r="C45" s="362"/>
      <x:c r="D45" s="362"/>
      <x:c r="E45" s="362"/>
      <x:c r="F45" s="362"/>
      <x:c r="G45" s="362"/>
      <x:c r="H45" s="363"/>
      <x:c r="I45" s="363" t="str">
        <x:f>IF($A45="","",'Pricing Rules'!$B$5)</x:f>
      </x:c>
      <x:c r="J45" s="363"/>
      <x:c r="K45" s="363"/>
      <x:c r="L45" s="363" t="str">
        <x:f>IF($A45="","",SUM(H45:K45))</x:f>
      </x:c>
      <x:c r="M45" s="363" t="str">
        <x:f>IF($A45="","",L45*'Pricing Rules'!$B$6)</x:f>
      </x:c>
      <x:c r="N45" s="363" t="str">
        <x:f>IF($A45="","",L45+M45)</x:f>
      </x:c>
      <x:c r="O45" s="363"/>
      <x:c r="P45" s="362"/>
      <x:c r="Q45" s="362"/>
      <x:c r="R45" s="362"/>
      <x:c r="S45" s="365"/>
      <x:c r="T45" s="365"/>
      <x:c r="U45" s="362"/>
      <x:c r="V45" s="362"/>
      <x:c r="W45" s="365"/>
      <x:c r="X45" s="366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361"/>
      <x:c r="B46" s="362"/>
      <x:c r="C46" s="362"/>
      <x:c r="D46" s="362"/>
      <x:c r="E46" s="362"/>
      <x:c r="F46" s="362"/>
      <x:c r="G46" s="362"/>
      <x:c r="H46" s="363"/>
      <x:c r="I46" s="363" t="str">
        <x:f>IF($A46="","",'Pricing Rules'!$B$5)</x:f>
      </x:c>
      <x:c r="J46" s="363"/>
      <x:c r="K46" s="363"/>
      <x:c r="L46" s="363" t="str">
        <x:f>IF($A46="","",SUM(H46:K46))</x:f>
      </x:c>
      <x:c r="M46" s="363" t="str">
        <x:f>IF($A46="","",L46*'Pricing Rules'!$B$6)</x:f>
      </x:c>
      <x:c r="N46" s="363" t="str">
        <x:f>IF($A46="","",L46+M46)</x:f>
      </x:c>
      <x:c r="O46" s="363"/>
      <x:c r="P46" s="362"/>
      <x:c r="Q46" s="362"/>
      <x:c r="R46" s="362"/>
      <x:c r="S46" s="365"/>
      <x:c r="T46" s="365"/>
      <x:c r="U46" s="362"/>
      <x:c r="V46" s="362"/>
      <x:c r="W46" s="365"/>
      <x:c r="X46" s="366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361"/>
      <x:c r="B47" s="362"/>
      <x:c r="C47" s="362"/>
      <x:c r="D47" s="362"/>
      <x:c r="E47" s="362"/>
      <x:c r="F47" s="362"/>
      <x:c r="G47" s="362"/>
      <x:c r="H47" s="363"/>
      <x:c r="I47" s="363" t="str">
        <x:f>IF($A47="","",'Pricing Rules'!$B$5)</x:f>
      </x:c>
      <x:c r="J47" s="363"/>
      <x:c r="K47" s="363"/>
      <x:c r="L47" s="363" t="str">
        <x:f>IF($A47="","",SUM(H47:K47))</x:f>
      </x:c>
      <x:c r="M47" s="363" t="str">
        <x:f>IF($A47="","",L47*'Pricing Rules'!$B$6)</x:f>
      </x:c>
      <x:c r="N47" s="363" t="str">
        <x:f>IF($A47="","",L47+M47)</x:f>
      </x:c>
      <x:c r="O47" s="363"/>
      <x:c r="P47" s="362"/>
      <x:c r="Q47" s="362"/>
      <x:c r="R47" s="362"/>
      <x:c r="S47" s="365"/>
      <x:c r="T47" s="365"/>
      <x:c r="U47" s="362"/>
      <x:c r="V47" s="362"/>
      <x:c r="W47" s="365"/>
      <x:c r="X47" s="366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361"/>
      <x:c r="B48" s="362"/>
      <x:c r="C48" s="362"/>
      <x:c r="D48" s="362"/>
      <x:c r="E48" s="362"/>
      <x:c r="F48" s="362"/>
      <x:c r="G48" s="362"/>
      <x:c r="H48" s="363"/>
      <x:c r="I48" s="363" t="str">
        <x:f>IF($A48="","",'Pricing Rules'!$B$5)</x:f>
      </x:c>
      <x:c r="J48" s="363"/>
      <x:c r="K48" s="363"/>
      <x:c r="L48" s="363" t="str">
        <x:f>IF($A48="","",SUM(H48:K48))</x:f>
      </x:c>
      <x:c r="M48" s="363" t="str">
        <x:f>IF($A48="","",L48*'Pricing Rules'!$B$6)</x:f>
      </x:c>
      <x:c r="N48" s="363" t="str">
        <x:f>IF($A48="","",L48+M48)</x:f>
      </x:c>
      <x:c r="O48" s="363"/>
      <x:c r="P48" s="362"/>
      <x:c r="Q48" s="362"/>
      <x:c r="R48" s="362"/>
      <x:c r="S48" s="365"/>
      <x:c r="T48" s="365"/>
      <x:c r="U48" s="362"/>
      <x:c r="V48" s="362"/>
      <x:c r="W48" s="365"/>
      <x:c r="X48" s="366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361"/>
      <x:c r="B49" s="362"/>
      <x:c r="C49" s="362"/>
      <x:c r="D49" s="362"/>
      <x:c r="E49" s="362"/>
      <x:c r="F49" s="362"/>
      <x:c r="G49" s="362"/>
      <x:c r="H49" s="363"/>
      <x:c r="I49" s="363" t="str">
        <x:f>IF($A49="","",'Pricing Rules'!$B$5)</x:f>
      </x:c>
      <x:c r="J49" s="363"/>
      <x:c r="K49" s="363"/>
      <x:c r="L49" s="363" t="str">
        <x:f>IF($A49="","",SUM(H49:K49))</x:f>
      </x:c>
      <x:c r="M49" s="363" t="str">
        <x:f>IF($A49="","",L49*'Pricing Rules'!$B$6)</x:f>
      </x:c>
      <x:c r="N49" s="363" t="str">
        <x:f>IF($A49="","",L49+M49)</x:f>
      </x:c>
      <x:c r="O49" s="363"/>
      <x:c r="P49" s="362"/>
      <x:c r="Q49" s="362"/>
      <x:c r="R49" s="362"/>
      <x:c r="S49" s="365"/>
      <x:c r="T49" s="365"/>
      <x:c r="U49" s="362"/>
      <x:c r="V49" s="362"/>
      <x:c r="W49" s="365"/>
      <x:c r="X49" s="366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361"/>
      <x:c r="B50" s="362"/>
      <x:c r="C50" s="362"/>
      <x:c r="D50" s="362"/>
      <x:c r="E50" s="362"/>
      <x:c r="F50" s="362"/>
      <x:c r="G50" s="362"/>
      <x:c r="H50" s="363"/>
      <x:c r="I50" s="363" t="str">
        <x:f>IF($A50="","",'Pricing Rules'!$B$5)</x:f>
      </x:c>
      <x:c r="J50" s="363"/>
      <x:c r="K50" s="363"/>
      <x:c r="L50" s="363" t="str">
        <x:f>IF($A50="","",SUM(H50:K50))</x:f>
      </x:c>
      <x:c r="M50" s="363" t="str">
        <x:f>IF($A50="","",L50*'Pricing Rules'!$B$6)</x:f>
      </x:c>
      <x:c r="N50" s="363" t="str">
        <x:f>IF($A50="","",L50+M50)</x:f>
      </x:c>
      <x:c r="O50" s="363"/>
      <x:c r="P50" s="362"/>
      <x:c r="Q50" s="362"/>
      <x:c r="R50" s="362"/>
      <x:c r="S50" s="365"/>
      <x:c r="T50" s="365"/>
      <x:c r="U50" s="362"/>
      <x:c r="V50" s="362"/>
      <x:c r="W50" s="365"/>
      <x:c r="X50" s="366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361"/>
      <x:c r="B51" s="362"/>
      <x:c r="C51" s="362"/>
      <x:c r="D51" s="362"/>
      <x:c r="E51" s="362"/>
      <x:c r="F51" s="362"/>
      <x:c r="G51" s="362"/>
      <x:c r="H51" s="363"/>
      <x:c r="I51" s="363" t="str">
        <x:f>IF($A51="","",'Pricing Rules'!$B$5)</x:f>
      </x:c>
      <x:c r="J51" s="363"/>
      <x:c r="K51" s="363"/>
      <x:c r="L51" s="363" t="str">
        <x:f>IF($A51="","",SUM(H51:K51))</x:f>
      </x:c>
      <x:c r="M51" s="363" t="str">
        <x:f>IF($A51="","",L51*'Pricing Rules'!$B$6)</x:f>
      </x:c>
      <x:c r="N51" s="363" t="str">
        <x:f>IF($A51="","",L51+M51)</x:f>
      </x:c>
      <x:c r="O51" s="363"/>
      <x:c r="P51" s="362"/>
      <x:c r="Q51" s="362"/>
      <x:c r="R51" s="362"/>
      <x:c r="S51" s="365"/>
      <x:c r="T51" s="365"/>
      <x:c r="U51" s="362"/>
      <x:c r="V51" s="362"/>
      <x:c r="W51" s="365"/>
      <x:c r="X51" s="366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361"/>
      <x:c r="B52" s="362"/>
      <x:c r="C52" s="362"/>
      <x:c r="D52" s="362"/>
      <x:c r="E52" s="362"/>
      <x:c r="F52" s="362"/>
      <x:c r="G52" s="362"/>
      <x:c r="H52" s="363"/>
      <x:c r="I52" s="363" t="str">
        <x:f>IF($A52="","",'Pricing Rules'!$B$5)</x:f>
      </x:c>
      <x:c r="J52" s="363"/>
      <x:c r="K52" s="363"/>
      <x:c r="L52" s="363" t="str">
        <x:f>IF($A52="","",SUM(H52:K52))</x:f>
      </x:c>
      <x:c r="M52" s="363" t="str">
        <x:f>IF($A52="","",L52*'Pricing Rules'!$B$6)</x:f>
      </x:c>
      <x:c r="N52" s="363" t="str">
        <x:f>IF($A52="","",L52+M52)</x:f>
      </x:c>
      <x:c r="O52" s="363"/>
      <x:c r="P52" s="362"/>
      <x:c r="Q52" s="362"/>
      <x:c r="R52" s="362"/>
      <x:c r="S52" s="365"/>
      <x:c r="T52" s="365"/>
      <x:c r="U52" s="362"/>
      <x:c r="V52" s="362"/>
      <x:c r="W52" s="365"/>
      <x:c r="X52" s="366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361"/>
      <x:c r="B53" s="362"/>
      <x:c r="C53" s="362"/>
      <x:c r="D53" s="362"/>
      <x:c r="E53" s="362"/>
      <x:c r="F53" s="362"/>
      <x:c r="G53" s="362"/>
      <x:c r="H53" s="363"/>
      <x:c r="I53" s="363" t="str">
        <x:f>IF($A53="","",'Pricing Rules'!$B$5)</x:f>
      </x:c>
      <x:c r="J53" s="363"/>
      <x:c r="K53" s="363"/>
      <x:c r="L53" s="363" t="str">
        <x:f>IF($A53="","",SUM(H53:K53))</x:f>
      </x:c>
      <x:c r="M53" s="363" t="str">
        <x:f>IF($A53="","",L53*'Pricing Rules'!$B$6)</x:f>
      </x:c>
      <x:c r="N53" s="363" t="str">
        <x:f>IF($A53="","",L53+M53)</x:f>
      </x:c>
      <x:c r="O53" s="363"/>
      <x:c r="P53" s="362"/>
      <x:c r="Q53" s="362"/>
      <x:c r="R53" s="362"/>
      <x:c r="S53" s="365"/>
      <x:c r="T53" s="365"/>
      <x:c r="U53" s="362"/>
      <x:c r="V53" s="362"/>
      <x:c r="W53" s="365"/>
      <x:c r="X53" s="366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361"/>
      <x:c r="B54" s="362"/>
      <x:c r="C54" s="362"/>
      <x:c r="D54" s="362"/>
      <x:c r="E54" s="362"/>
      <x:c r="F54" s="362"/>
      <x:c r="G54" s="362"/>
      <x:c r="H54" s="363"/>
      <x:c r="I54" s="363" t="str">
        <x:f>IF($A54="","",'Pricing Rules'!$B$5)</x:f>
      </x:c>
      <x:c r="J54" s="363"/>
      <x:c r="K54" s="363"/>
      <x:c r="L54" s="363" t="str">
        <x:f>IF($A54="","",SUM(H54:K54))</x:f>
      </x:c>
      <x:c r="M54" s="363" t="str">
        <x:f>IF($A54="","",L54*'Pricing Rules'!$B$6)</x:f>
      </x:c>
      <x:c r="N54" s="363" t="str">
        <x:f>IF($A54="","",L54+M54)</x:f>
      </x:c>
      <x:c r="O54" s="363"/>
      <x:c r="P54" s="362"/>
      <x:c r="Q54" s="362"/>
      <x:c r="R54" s="362"/>
      <x:c r="S54" s="365"/>
      <x:c r="T54" s="365"/>
      <x:c r="U54" s="362"/>
      <x:c r="V54" s="362"/>
      <x:c r="W54" s="365"/>
      <x:c r="X54" s="366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361"/>
      <x:c r="B55" s="362"/>
      <x:c r="C55" s="362"/>
      <x:c r="D55" s="362"/>
      <x:c r="E55" s="362"/>
      <x:c r="F55" s="362"/>
      <x:c r="G55" s="362"/>
      <x:c r="H55" s="363"/>
      <x:c r="I55" s="363" t="str">
        <x:f>IF($A55="","",'Pricing Rules'!$B$5)</x:f>
      </x:c>
      <x:c r="J55" s="363"/>
      <x:c r="K55" s="363"/>
      <x:c r="L55" s="363" t="str">
        <x:f>IF($A55="","",SUM(H55:K55))</x:f>
      </x:c>
      <x:c r="M55" s="363" t="str">
        <x:f>IF($A55="","",L55*'Pricing Rules'!$B$6)</x:f>
      </x:c>
      <x:c r="N55" s="363" t="str">
        <x:f>IF($A55="","",L55+M55)</x:f>
      </x:c>
      <x:c r="O55" s="363"/>
      <x:c r="P55" s="362"/>
      <x:c r="Q55" s="362"/>
      <x:c r="R55" s="362"/>
      <x:c r="S55" s="365"/>
      <x:c r="T55" s="365"/>
      <x:c r="U55" s="362"/>
      <x:c r="V55" s="362"/>
      <x:c r="W55" s="365"/>
      <x:c r="X55" s="366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361"/>
      <x:c r="B56" s="362"/>
      <x:c r="C56" s="362"/>
      <x:c r="D56" s="362"/>
      <x:c r="E56" s="362"/>
      <x:c r="F56" s="362"/>
      <x:c r="G56" s="362"/>
      <x:c r="H56" s="363"/>
      <x:c r="I56" s="363" t="str">
        <x:f>IF($A56="","",'Pricing Rules'!$B$5)</x:f>
      </x:c>
      <x:c r="J56" s="363"/>
      <x:c r="K56" s="363"/>
      <x:c r="L56" s="363" t="str">
        <x:f>IF($A56="","",SUM(H56:K56))</x:f>
      </x:c>
      <x:c r="M56" s="363" t="str">
        <x:f>IF($A56="","",L56*'Pricing Rules'!$B$6)</x:f>
      </x:c>
      <x:c r="N56" s="363" t="str">
        <x:f>IF($A56="","",L56+M56)</x:f>
      </x:c>
      <x:c r="O56" s="363"/>
      <x:c r="P56" s="362"/>
      <x:c r="Q56" s="362"/>
      <x:c r="R56" s="362"/>
      <x:c r="S56" s="365"/>
      <x:c r="T56" s="365"/>
      <x:c r="U56" s="362"/>
      <x:c r="V56" s="362"/>
      <x:c r="W56" s="365"/>
      <x:c r="X56" s="366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361"/>
      <x:c r="B57" s="362"/>
      <x:c r="C57" s="362"/>
      <x:c r="D57" s="362"/>
      <x:c r="E57" s="362"/>
      <x:c r="F57" s="362"/>
      <x:c r="G57" s="362"/>
      <x:c r="H57" s="363"/>
      <x:c r="I57" s="363" t="str">
        <x:f>IF($A57="","",'Pricing Rules'!$B$5)</x:f>
      </x:c>
      <x:c r="J57" s="363"/>
      <x:c r="K57" s="363"/>
      <x:c r="L57" s="363" t="str">
        <x:f>IF($A57="","",SUM(H57:K57))</x:f>
      </x:c>
      <x:c r="M57" s="363" t="str">
        <x:f>IF($A57="","",L57*'Pricing Rules'!$B$6)</x:f>
      </x:c>
      <x:c r="N57" s="363" t="str">
        <x:f>IF($A57="","",L57+M57)</x:f>
      </x:c>
      <x:c r="O57" s="363"/>
      <x:c r="P57" s="362"/>
      <x:c r="Q57" s="362"/>
      <x:c r="R57" s="362"/>
      <x:c r="S57" s="365"/>
      <x:c r="T57" s="365"/>
      <x:c r="U57" s="362"/>
      <x:c r="V57" s="362"/>
      <x:c r="W57" s="365"/>
      <x:c r="X57" s="366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361"/>
      <x:c r="B58" s="362"/>
      <x:c r="C58" s="362"/>
      <x:c r="D58" s="362"/>
      <x:c r="E58" s="362"/>
      <x:c r="F58" s="362"/>
      <x:c r="G58" s="362"/>
      <x:c r="H58" s="363"/>
      <x:c r="I58" s="363" t="str">
        <x:f>IF($A58="","",'Pricing Rules'!$B$5)</x:f>
      </x:c>
      <x:c r="J58" s="363"/>
      <x:c r="K58" s="363"/>
      <x:c r="L58" s="363" t="str">
        <x:f>IF($A58="","",SUM(H58:K58))</x:f>
      </x:c>
      <x:c r="M58" s="363" t="str">
        <x:f>IF($A58="","",L58*'Pricing Rules'!$B$6)</x:f>
      </x:c>
      <x:c r="N58" s="363" t="str">
        <x:f>IF($A58="","",L58+M58)</x:f>
      </x:c>
      <x:c r="O58" s="363"/>
      <x:c r="P58" s="362"/>
      <x:c r="Q58" s="362"/>
      <x:c r="R58" s="362"/>
      <x:c r="S58" s="365"/>
      <x:c r="T58" s="365"/>
      <x:c r="U58" s="362"/>
      <x:c r="V58" s="362"/>
      <x:c r="W58" s="365"/>
      <x:c r="X58" s="366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361"/>
      <x:c r="B59" s="362"/>
      <x:c r="C59" s="362"/>
      <x:c r="D59" s="362"/>
      <x:c r="E59" s="362"/>
      <x:c r="F59" s="362"/>
      <x:c r="G59" s="362"/>
      <x:c r="H59" s="363"/>
      <x:c r="I59" s="363" t="str">
        <x:f>IF($A59="","",'Pricing Rules'!$B$5)</x:f>
      </x:c>
      <x:c r="J59" s="363"/>
      <x:c r="K59" s="363"/>
      <x:c r="L59" s="363" t="str">
        <x:f>IF($A59="","",SUM(H59:K59))</x:f>
      </x:c>
      <x:c r="M59" s="363" t="str">
        <x:f>IF($A59="","",L59*'Pricing Rules'!$B$6)</x:f>
      </x:c>
      <x:c r="N59" s="363" t="str">
        <x:f>IF($A59="","",L59+M59)</x:f>
      </x:c>
      <x:c r="O59" s="363"/>
      <x:c r="P59" s="362"/>
      <x:c r="Q59" s="362"/>
      <x:c r="R59" s="362"/>
      <x:c r="S59" s="365"/>
      <x:c r="T59" s="365"/>
      <x:c r="U59" s="362"/>
      <x:c r="V59" s="362"/>
      <x:c r="W59" s="365"/>
      <x:c r="X59" s="366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361"/>
      <x:c r="B60" s="362"/>
      <x:c r="C60" s="362"/>
      <x:c r="D60" s="362"/>
      <x:c r="E60" s="362"/>
      <x:c r="F60" s="362"/>
      <x:c r="G60" s="362"/>
      <x:c r="H60" s="363"/>
      <x:c r="I60" s="363" t="str">
        <x:f>IF($A60="","",'Pricing Rules'!$B$5)</x:f>
      </x:c>
      <x:c r="J60" s="363"/>
      <x:c r="K60" s="363"/>
      <x:c r="L60" s="363" t="str">
        <x:f>IF($A60="","",SUM(H60:K60))</x:f>
      </x:c>
      <x:c r="M60" s="363" t="str">
        <x:f>IF($A60="","",L60*'Pricing Rules'!$B$6)</x:f>
      </x:c>
      <x:c r="N60" s="363" t="str">
        <x:f>IF($A60="","",L60+M60)</x:f>
      </x:c>
      <x:c r="O60" s="363"/>
      <x:c r="P60" s="362"/>
      <x:c r="Q60" s="362"/>
      <x:c r="R60" s="362"/>
      <x:c r="S60" s="365"/>
      <x:c r="T60" s="365"/>
      <x:c r="U60" s="362"/>
      <x:c r="V60" s="362"/>
      <x:c r="W60" s="365"/>
      <x:c r="X60" s="366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361"/>
      <x:c r="B61" s="362"/>
      <x:c r="C61" s="362"/>
      <x:c r="D61" s="362"/>
      <x:c r="E61" s="362"/>
      <x:c r="F61" s="362"/>
      <x:c r="G61" s="362"/>
      <x:c r="H61" s="363"/>
      <x:c r="I61" s="363" t="str">
        <x:f>IF($A61="","",'Pricing Rules'!$B$5)</x:f>
      </x:c>
      <x:c r="J61" s="363"/>
      <x:c r="K61" s="363"/>
      <x:c r="L61" s="363" t="str">
        <x:f>IF($A61="","",SUM(H61:K61))</x:f>
      </x:c>
      <x:c r="M61" s="363" t="str">
        <x:f>IF($A61="","",L61*'Pricing Rules'!$B$6)</x:f>
      </x:c>
      <x:c r="N61" s="363" t="str">
        <x:f>IF($A61="","",L61+M61)</x:f>
      </x:c>
      <x:c r="O61" s="363"/>
      <x:c r="P61" s="362"/>
      <x:c r="Q61" s="362"/>
      <x:c r="R61" s="362"/>
      <x:c r="S61" s="365"/>
      <x:c r="T61" s="365"/>
      <x:c r="U61" s="362"/>
      <x:c r="V61" s="362"/>
      <x:c r="W61" s="365"/>
      <x:c r="X61" s="366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361"/>
      <x:c r="B62" s="362"/>
      <x:c r="C62" s="362"/>
      <x:c r="D62" s="362"/>
      <x:c r="E62" s="362"/>
      <x:c r="F62" s="362"/>
      <x:c r="G62" s="362"/>
      <x:c r="H62" s="363"/>
      <x:c r="I62" s="363" t="str">
        <x:f>IF($A62="","",'Pricing Rules'!$B$5)</x:f>
      </x:c>
      <x:c r="J62" s="363"/>
      <x:c r="K62" s="363"/>
      <x:c r="L62" s="363" t="str">
        <x:f>IF($A62="","",SUM(H62:K62))</x:f>
      </x:c>
      <x:c r="M62" s="363" t="str">
        <x:f>IF($A62="","",L62*'Pricing Rules'!$B$6)</x:f>
      </x:c>
      <x:c r="N62" s="363" t="str">
        <x:f>IF($A62="","",L62+M62)</x:f>
      </x:c>
      <x:c r="O62" s="363"/>
      <x:c r="P62" s="362"/>
      <x:c r="Q62" s="362"/>
      <x:c r="R62" s="362"/>
      <x:c r="S62" s="365"/>
      <x:c r="T62" s="365"/>
      <x:c r="U62" s="362"/>
      <x:c r="V62" s="362"/>
      <x:c r="W62" s="365"/>
      <x:c r="X62" s="366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361"/>
      <x:c r="B63" s="362"/>
      <x:c r="C63" s="362"/>
      <x:c r="D63" s="362"/>
      <x:c r="E63" s="362"/>
      <x:c r="F63" s="362"/>
      <x:c r="G63" s="362"/>
      <x:c r="H63" s="363"/>
      <x:c r="I63" s="363" t="str">
        <x:f>IF($A63="","",'Pricing Rules'!$B$5)</x:f>
      </x:c>
      <x:c r="J63" s="363"/>
      <x:c r="K63" s="363"/>
      <x:c r="L63" s="363" t="str">
        <x:f>IF($A63="","",SUM(H63:K63))</x:f>
      </x:c>
      <x:c r="M63" s="363" t="str">
        <x:f>IF($A63="","",L63*'Pricing Rules'!$B$6)</x:f>
      </x:c>
      <x:c r="N63" s="363" t="str">
        <x:f>IF($A63="","",L63+M63)</x:f>
      </x:c>
      <x:c r="O63" s="363"/>
      <x:c r="P63" s="362"/>
      <x:c r="Q63" s="362"/>
      <x:c r="R63" s="362"/>
      <x:c r="S63" s="365"/>
      <x:c r="T63" s="365"/>
      <x:c r="U63" s="362"/>
      <x:c r="V63" s="362"/>
      <x:c r="W63" s="365"/>
      <x:c r="X63" s="366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361"/>
      <x:c r="B64" s="362"/>
      <x:c r="C64" s="362"/>
      <x:c r="D64" s="362"/>
      <x:c r="E64" s="362"/>
      <x:c r="F64" s="362"/>
      <x:c r="G64" s="362"/>
      <x:c r="H64" s="363"/>
      <x:c r="I64" s="363" t="str">
        <x:f>IF($A64="","",'Pricing Rules'!$B$5)</x:f>
      </x:c>
      <x:c r="J64" s="363"/>
      <x:c r="K64" s="363"/>
      <x:c r="L64" s="363" t="str">
        <x:f>IF($A64="","",SUM(H64:K64))</x:f>
      </x:c>
      <x:c r="M64" s="363" t="str">
        <x:f>IF($A64="","",L64*'Pricing Rules'!$B$6)</x:f>
      </x:c>
      <x:c r="N64" s="363" t="str">
        <x:f>IF($A64="","",L64+M64)</x:f>
      </x:c>
      <x:c r="O64" s="363"/>
      <x:c r="P64" s="362"/>
      <x:c r="Q64" s="362"/>
      <x:c r="R64" s="362"/>
      <x:c r="S64" s="365"/>
      <x:c r="T64" s="365"/>
      <x:c r="U64" s="362"/>
      <x:c r="V64" s="362"/>
      <x:c r="W64" s="365"/>
      <x:c r="X64" s="366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361"/>
      <x:c r="B65" s="362"/>
      <x:c r="C65" s="362"/>
      <x:c r="D65" s="362"/>
      <x:c r="E65" s="362"/>
      <x:c r="F65" s="362"/>
      <x:c r="G65" s="362"/>
      <x:c r="H65" s="363"/>
      <x:c r="I65" s="363" t="str">
        <x:f>IF($A65="","",'Pricing Rules'!$B$5)</x:f>
      </x:c>
      <x:c r="J65" s="363"/>
      <x:c r="K65" s="363"/>
      <x:c r="L65" s="363" t="str">
        <x:f>IF($A65="","",SUM(H65:K65))</x:f>
      </x:c>
      <x:c r="M65" s="363" t="str">
        <x:f>IF($A65="","",L65*'Pricing Rules'!$B$6)</x:f>
      </x:c>
      <x:c r="N65" s="363" t="str">
        <x:f>IF($A65="","",L65+M65)</x:f>
      </x:c>
      <x:c r="O65" s="363"/>
      <x:c r="P65" s="362"/>
      <x:c r="Q65" s="362"/>
      <x:c r="R65" s="362"/>
      <x:c r="S65" s="365"/>
      <x:c r="T65" s="365"/>
      <x:c r="U65" s="362"/>
      <x:c r="V65" s="362"/>
      <x:c r="W65" s="365"/>
      <x:c r="X65" s="366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361"/>
      <x:c r="B66" s="362"/>
      <x:c r="C66" s="362"/>
      <x:c r="D66" s="362"/>
      <x:c r="E66" s="362"/>
      <x:c r="F66" s="362"/>
      <x:c r="G66" s="362"/>
      <x:c r="H66" s="363"/>
      <x:c r="I66" s="363" t="str">
        <x:f>IF($A66="","",'Pricing Rules'!$B$5)</x:f>
      </x:c>
      <x:c r="J66" s="363"/>
      <x:c r="K66" s="363"/>
      <x:c r="L66" s="363" t="str">
        <x:f>IF($A66="","",SUM(H66:K66))</x:f>
      </x:c>
      <x:c r="M66" s="363" t="str">
        <x:f>IF($A66="","",L66*'Pricing Rules'!$B$6)</x:f>
      </x:c>
      <x:c r="N66" s="363" t="str">
        <x:f>IF($A66="","",L66+M66)</x:f>
      </x:c>
      <x:c r="O66" s="363"/>
      <x:c r="P66" s="362"/>
      <x:c r="Q66" s="362"/>
      <x:c r="R66" s="362"/>
      <x:c r="S66" s="365"/>
      <x:c r="T66" s="365"/>
      <x:c r="U66" s="362"/>
      <x:c r="V66" s="362"/>
      <x:c r="W66" s="365"/>
      <x:c r="X66" s="366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361"/>
      <x:c r="B67" s="362"/>
      <x:c r="C67" s="362"/>
      <x:c r="D67" s="362"/>
      <x:c r="E67" s="362"/>
      <x:c r="F67" s="362"/>
      <x:c r="G67" s="362"/>
      <x:c r="H67" s="363"/>
      <x:c r="I67" s="363" t="str">
        <x:f>IF($A67="","",'Pricing Rules'!$B$5)</x:f>
      </x:c>
      <x:c r="J67" s="363"/>
      <x:c r="K67" s="363"/>
      <x:c r="L67" s="363" t="str">
        <x:f>IF($A67="","",SUM(H67:K67))</x:f>
      </x:c>
      <x:c r="M67" s="363" t="str">
        <x:f>IF($A67="","",L67*'Pricing Rules'!$B$6)</x:f>
      </x:c>
      <x:c r="N67" s="363" t="str">
        <x:f>IF($A67="","",L67+M67)</x:f>
      </x:c>
      <x:c r="O67" s="363"/>
      <x:c r="P67" s="362"/>
      <x:c r="Q67" s="362"/>
      <x:c r="R67" s="362"/>
      <x:c r="S67" s="365"/>
      <x:c r="T67" s="365"/>
      <x:c r="U67" s="362"/>
      <x:c r="V67" s="362"/>
      <x:c r="W67" s="365"/>
      <x:c r="X67" s="366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361"/>
      <x:c r="B68" s="362"/>
      <x:c r="C68" s="362"/>
      <x:c r="D68" s="362"/>
      <x:c r="E68" s="362"/>
      <x:c r="F68" s="362"/>
      <x:c r="G68" s="362"/>
      <x:c r="H68" s="363"/>
      <x:c r="I68" s="363" t="str">
        <x:f>IF($A68="","",'Pricing Rules'!$B$5)</x:f>
      </x:c>
      <x:c r="J68" s="363"/>
      <x:c r="K68" s="363"/>
      <x:c r="L68" s="363" t="str">
        <x:f>IF($A68="","",SUM(H68:K68))</x:f>
      </x:c>
      <x:c r="M68" s="363" t="str">
        <x:f>IF($A68="","",L68*'Pricing Rules'!$B$6)</x:f>
      </x:c>
      <x:c r="N68" s="363" t="str">
        <x:f>IF($A68="","",L68+M68)</x:f>
      </x:c>
      <x:c r="O68" s="363"/>
      <x:c r="P68" s="362"/>
      <x:c r="Q68" s="362"/>
      <x:c r="R68" s="362"/>
      <x:c r="S68" s="365"/>
      <x:c r="T68" s="365"/>
      <x:c r="U68" s="362"/>
      <x:c r="V68" s="362"/>
      <x:c r="W68" s="365"/>
      <x:c r="X68" s="366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361"/>
      <x:c r="B69" s="362"/>
      <x:c r="C69" s="362"/>
      <x:c r="D69" s="362"/>
      <x:c r="E69" s="362"/>
      <x:c r="F69" s="362"/>
      <x:c r="G69" s="362"/>
      <x:c r="H69" s="363"/>
      <x:c r="I69" s="363" t="str">
        <x:f>IF($A69="","",'Pricing Rules'!$B$5)</x:f>
      </x:c>
      <x:c r="J69" s="363"/>
      <x:c r="K69" s="363"/>
      <x:c r="L69" s="363" t="str">
        <x:f>IF($A69="","",SUM(H69:K69))</x:f>
      </x:c>
      <x:c r="M69" s="363" t="str">
        <x:f>IF($A69="","",L69*'Pricing Rules'!$B$6)</x:f>
      </x:c>
      <x:c r="N69" s="363" t="str">
        <x:f>IF($A69="","",L69+M69)</x:f>
      </x:c>
      <x:c r="O69" s="363"/>
      <x:c r="P69" s="362"/>
      <x:c r="Q69" s="362"/>
      <x:c r="R69" s="362"/>
      <x:c r="S69" s="365"/>
      <x:c r="T69" s="365"/>
      <x:c r="U69" s="362"/>
      <x:c r="V69" s="362"/>
      <x:c r="W69" s="365"/>
      <x:c r="X69" s="366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361"/>
      <x:c r="B70" s="362"/>
      <x:c r="C70" s="362"/>
      <x:c r="D70" s="362"/>
      <x:c r="E70" s="362"/>
      <x:c r="F70" s="362"/>
      <x:c r="G70" s="362"/>
      <x:c r="H70" s="363"/>
      <x:c r="I70" s="363" t="str">
        <x:f>IF($A70="","",'Pricing Rules'!$B$5)</x:f>
      </x:c>
      <x:c r="J70" s="363"/>
      <x:c r="K70" s="363"/>
      <x:c r="L70" s="363" t="str">
        <x:f>IF($A70="","",SUM(H70:K70))</x:f>
      </x:c>
      <x:c r="M70" s="363" t="str">
        <x:f>IF($A70="","",L70*'Pricing Rules'!$B$6)</x:f>
      </x:c>
      <x:c r="N70" s="363" t="str">
        <x:f>IF($A70="","",L70+M70)</x:f>
      </x:c>
      <x:c r="O70" s="363"/>
      <x:c r="P70" s="362"/>
      <x:c r="Q70" s="362"/>
      <x:c r="R70" s="362"/>
      <x:c r="S70" s="365"/>
      <x:c r="T70" s="365"/>
      <x:c r="U70" s="362"/>
      <x:c r="V70" s="362"/>
      <x:c r="W70" s="365"/>
      <x:c r="X70" s="366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361"/>
      <x:c r="B71" s="362"/>
      <x:c r="C71" s="362"/>
      <x:c r="D71" s="362"/>
      <x:c r="E71" s="362"/>
      <x:c r="F71" s="362"/>
      <x:c r="G71" s="362"/>
      <x:c r="H71" s="363"/>
      <x:c r="I71" s="363" t="str">
        <x:f>IF($A71="","",'Pricing Rules'!$B$5)</x:f>
      </x:c>
      <x:c r="J71" s="363"/>
      <x:c r="K71" s="363"/>
      <x:c r="L71" s="363" t="str">
        <x:f>IF($A71="","",SUM(H71:K71))</x:f>
      </x:c>
      <x:c r="M71" s="363" t="str">
        <x:f>IF($A71="","",L71*'Pricing Rules'!$B$6)</x:f>
      </x:c>
      <x:c r="N71" s="363" t="str">
        <x:f>IF($A71="","",L71+M71)</x:f>
      </x:c>
      <x:c r="O71" s="363"/>
      <x:c r="P71" s="362"/>
      <x:c r="Q71" s="362"/>
      <x:c r="R71" s="362"/>
      <x:c r="S71" s="365"/>
      <x:c r="T71" s="365"/>
      <x:c r="U71" s="362"/>
      <x:c r="V71" s="362"/>
      <x:c r="W71" s="365"/>
      <x:c r="X71" s="366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361"/>
      <x:c r="B72" s="362"/>
      <x:c r="C72" s="362"/>
      <x:c r="D72" s="362"/>
      <x:c r="E72" s="362"/>
      <x:c r="F72" s="362"/>
      <x:c r="G72" s="362"/>
      <x:c r="H72" s="363"/>
      <x:c r="I72" s="363" t="str">
        <x:f>IF($A72="","",'Pricing Rules'!$B$5)</x:f>
      </x:c>
      <x:c r="J72" s="363"/>
      <x:c r="K72" s="363"/>
      <x:c r="L72" s="363" t="str">
        <x:f>IF($A72="","",SUM(H72:K72))</x:f>
      </x:c>
      <x:c r="M72" s="363" t="str">
        <x:f>IF($A72="","",L72*'Pricing Rules'!$B$6)</x:f>
      </x:c>
      <x:c r="N72" s="363" t="str">
        <x:f>IF($A72="","",L72+M72)</x:f>
      </x:c>
      <x:c r="O72" s="363"/>
      <x:c r="P72" s="362"/>
      <x:c r="Q72" s="362"/>
      <x:c r="R72" s="362"/>
      <x:c r="S72" s="365"/>
      <x:c r="T72" s="365"/>
      <x:c r="U72" s="362"/>
      <x:c r="V72" s="362"/>
      <x:c r="W72" s="365"/>
      <x:c r="X72" s="366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361"/>
      <x:c r="B73" s="362"/>
      <x:c r="C73" s="362"/>
      <x:c r="D73" s="362"/>
      <x:c r="E73" s="362"/>
      <x:c r="F73" s="362"/>
      <x:c r="G73" s="362"/>
      <x:c r="H73" s="363"/>
      <x:c r="I73" s="363" t="str">
        <x:f>IF($A73="","",'Pricing Rules'!$B$5)</x:f>
      </x:c>
      <x:c r="J73" s="363"/>
      <x:c r="K73" s="363"/>
      <x:c r="L73" s="363" t="str">
        <x:f>IF($A73="","",SUM(H73:K73))</x:f>
      </x:c>
      <x:c r="M73" s="363" t="str">
        <x:f>IF($A73="","",L73*'Pricing Rules'!$B$6)</x:f>
      </x:c>
      <x:c r="N73" s="363" t="str">
        <x:f>IF($A73="","",L73+M73)</x:f>
      </x:c>
      <x:c r="O73" s="363"/>
      <x:c r="P73" s="362"/>
      <x:c r="Q73" s="362"/>
      <x:c r="R73" s="362"/>
      <x:c r="S73" s="365"/>
      <x:c r="T73" s="365"/>
      <x:c r="U73" s="362"/>
      <x:c r="V73" s="362"/>
      <x:c r="W73" s="365"/>
      <x:c r="X73" s="366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361"/>
      <x:c r="B74" s="362"/>
      <x:c r="C74" s="362"/>
      <x:c r="D74" s="362"/>
      <x:c r="E74" s="362"/>
      <x:c r="F74" s="362"/>
      <x:c r="G74" s="362"/>
      <x:c r="H74" s="363"/>
      <x:c r="I74" s="363" t="str">
        <x:f>IF($A74="","",'Pricing Rules'!$B$5)</x:f>
      </x:c>
      <x:c r="J74" s="363"/>
      <x:c r="K74" s="363"/>
      <x:c r="L74" s="363" t="str">
        <x:f>IF($A74="","",SUM(H74:K74))</x:f>
      </x:c>
      <x:c r="M74" s="363" t="str">
        <x:f>IF($A74="","",L74*'Pricing Rules'!$B$6)</x:f>
      </x:c>
      <x:c r="N74" s="363" t="str">
        <x:f>IF($A74="","",L74+M74)</x:f>
      </x:c>
      <x:c r="O74" s="363"/>
      <x:c r="P74" s="362"/>
      <x:c r="Q74" s="362"/>
      <x:c r="R74" s="362"/>
      <x:c r="S74" s="365"/>
      <x:c r="T74" s="365"/>
      <x:c r="U74" s="362"/>
      <x:c r="V74" s="362"/>
      <x:c r="W74" s="365"/>
      <x:c r="X74" s="366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361"/>
      <x:c r="B75" s="362"/>
      <x:c r="C75" s="362"/>
      <x:c r="D75" s="362"/>
      <x:c r="E75" s="362"/>
      <x:c r="F75" s="362"/>
      <x:c r="G75" s="362"/>
      <x:c r="H75" s="363"/>
      <x:c r="I75" s="363" t="str">
        <x:f>IF($A75="","",'Pricing Rules'!$B$5)</x:f>
      </x:c>
      <x:c r="J75" s="363"/>
      <x:c r="K75" s="363"/>
      <x:c r="L75" s="363" t="str">
        <x:f>IF($A75="","",SUM(H75:K75))</x:f>
      </x:c>
      <x:c r="M75" s="363" t="str">
        <x:f>IF($A75="","",L75*'Pricing Rules'!$B$6)</x:f>
      </x:c>
      <x:c r="N75" s="363" t="str">
        <x:f>IF($A75="","",L75+M75)</x:f>
      </x:c>
      <x:c r="O75" s="363"/>
      <x:c r="P75" s="362"/>
      <x:c r="Q75" s="362"/>
      <x:c r="R75" s="362"/>
      <x:c r="S75" s="365"/>
      <x:c r="T75" s="365"/>
      <x:c r="U75" s="362"/>
      <x:c r="V75" s="362"/>
      <x:c r="W75" s="365"/>
      <x:c r="X75" s="366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361"/>
      <x:c r="B76" s="362"/>
      <x:c r="C76" s="362"/>
      <x:c r="D76" s="362"/>
      <x:c r="E76" s="362"/>
      <x:c r="F76" s="362"/>
      <x:c r="G76" s="362"/>
      <x:c r="H76" s="363"/>
      <x:c r="I76" s="363" t="str">
        <x:f>IF($A76="","",'Pricing Rules'!$B$5)</x:f>
      </x:c>
      <x:c r="J76" s="363"/>
      <x:c r="K76" s="363"/>
      <x:c r="L76" s="363" t="str">
        <x:f>IF($A76="","",SUM(H76:K76))</x:f>
      </x:c>
      <x:c r="M76" s="363" t="str">
        <x:f>IF($A76="","",L76*'Pricing Rules'!$B$6)</x:f>
      </x:c>
      <x:c r="N76" s="363" t="str">
        <x:f>IF($A76="","",L76+M76)</x:f>
      </x:c>
      <x:c r="O76" s="363"/>
      <x:c r="P76" s="362"/>
      <x:c r="Q76" s="362"/>
      <x:c r="R76" s="362"/>
      <x:c r="S76" s="365"/>
      <x:c r="T76" s="365"/>
      <x:c r="U76" s="362"/>
      <x:c r="V76" s="362"/>
      <x:c r="W76" s="365"/>
      <x:c r="X76" s="366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361"/>
      <x:c r="B77" s="362"/>
      <x:c r="C77" s="362"/>
      <x:c r="D77" s="362"/>
      <x:c r="E77" s="362"/>
      <x:c r="F77" s="362"/>
      <x:c r="G77" s="362"/>
      <x:c r="H77" s="363"/>
      <x:c r="I77" s="363" t="str">
        <x:f>IF($A77="","",'Pricing Rules'!$B$5)</x:f>
      </x:c>
      <x:c r="J77" s="363"/>
      <x:c r="K77" s="363"/>
      <x:c r="L77" s="363" t="str">
        <x:f>IF($A77="","",SUM(H77:K77))</x:f>
      </x:c>
      <x:c r="M77" s="363" t="str">
        <x:f>IF($A77="","",L77*'Pricing Rules'!$B$6)</x:f>
      </x:c>
      <x:c r="N77" s="363" t="str">
        <x:f>IF($A77="","",L77+M77)</x:f>
      </x:c>
      <x:c r="O77" s="363"/>
      <x:c r="P77" s="362"/>
      <x:c r="Q77" s="362"/>
      <x:c r="R77" s="362"/>
      <x:c r="S77" s="365"/>
      <x:c r="T77" s="365"/>
      <x:c r="U77" s="362"/>
      <x:c r="V77" s="362"/>
      <x:c r="W77" s="365"/>
      <x:c r="X77" s="366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361"/>
      <x:c r="B78" s="362"/>
      <x:c r="C78" s="362"/>
      <x:c r="D78" s="362"/>
      <x:c r="E78" s="362"/>
      <x:c r="F78" s="362"/>
      <x:c r="G78" s="362"/>
      <x:c r="H78" s="363"/>
      <x:c r="I78" s="363" t="str">
        <x:f>IF($A78="","",'Pricing Rules'!$B$5)</x:f>
      </x:c>
      <x:c r="J78" s="363"/>
      <x:c r="K78" s="363"/>
      <x:c r="L78" s="363" t="str">
        <x:f>IF($A78="","",SUM(H78:K78))</x:f>
      </x:c>
      <x:c r="M78" s="363" t="str">
        <x:f>IF($A78="","",L78*'Pricing Rules'!$B$6)</x:f>
      </x:c>
      <x:c r="N78" s="363" t="str">
        <x:f>IF($A78="","",L78+M78)</x:f>
      </x:c>
      <x:c r="O78" s="363"/>
      <x:c r="P78" s="362"/>
      <x:c r="Q78" s="362"/>
      <x:c r="R78" s="362"/>
      <x:c r="S78" s="365"/>
      <x:c r="T78" s="365"/>
      <x:c r="U78" s="362"/>
      <x:c r="V78" s="362"/>
      <x:c r="W78" s="365"/>
      <x:c r="X78" s="366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361"/>
      <x:c r="B79" s="362"/>
      <x:c r="C79" s="362"/>
      <x:c r="D79" s="362"/>
      <x:c r="E79" s="362"/>
      <x:c r="F79" s="362"/>
      <x:c r="G79" s="362"/>
      <x:c r="H79" s="363"/>
      <x:c r="I79" s="363" t="str">
        <x:f>IF($A79="","",'Pricing Rules'!$B$5)</x:f>
      </x:c>
      <x:c r="J79" s="363"/>
      <x:c r="K79" s="363"/>
      <x:c r="L79" s="363" t="str">
        <x:f>IF($A79="","",SUM(H79:K79))</x:f>
      </x:c>
      <x:c r="M79" s="363" t="str">
        <x:f>IF($A79="","",L79*'Pricing Rules'!$B$6)</x:f>
      </x:c>
      <x:c r="N79" s="363" t="str">
        <x:f>IF($A79="","",L79+M79)</x:f>
      </x:c>
      <x:c r="O79" s="363"/>
      <x:c r="P79" s="362"/>
      <x:c r="Q79" s="362"/>
      <x:c r="R79" s="362"/>
      <x:c r="S79" s="365"/>
      <x:c r="T79" s="365"/>
      <x:c r="U79" s="362"/>
      <x:c r="V79" s="362"/>
      <x:c r="W79" s="365"/>
      <x:c r="X79" s="366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361"/>
      <x:c r="B80" s="362"/>
      <x:c r="C80" s="362"/>
      <x:c r="D80" s="362"/>
      <x:c r="E80" s="362"/>
      <x:c r="F80" s="362"/>
      <x:c r="G80" s="362"/>
      <x:c r="H80" s="363"/>
      <x:c r="I80" s="363" t="str">
        <x:f>IF($A80="","",'Pricing Rules'!$B$5)</x:f>
      </x:c>
      <x:c r="J80" s="363"/>
      <x:c r="K80" s="363"/>
      <x:c r="L80" s="363" t="str">
        <x:f>IF($A80="","",SUM(H80:K80))</x:f>
      </x:c>
      <x:c r="M80" s="363" t="str">
        <x:f>IF($A80="","",L80*'Pricing Rules'!$B$6)</x:f>
      </x:c>
      <x:c r="N80" s="363" t="str">
        <x:f>IF($A80="","",L80+M80)</x:f>
      </x:c>
      <x:c r="O80" s="363"/>
      <x:c r="P80" s="362"/>
      <x:c r="Q80" s="362"/>
      <x:c r="R80" s="362"/>
      <x:c r="S80" s="365"/>
      <x:c r="T80" s="365"/>
      <x:c r="U80" s="362"/>
      <x:c r="V80" s="362"/>
      <x:c r="W80" s="365"/>
      <x:c r="X80" s="366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361"/>
      <x:c r="B81" s="362"/>
      <x:c r="C81" s="362"/>
      <x:c r="D81" s="362"/>
      <x:c r="E81" s="362"/>
      <x:c r="F81" s="362"/>
      <x:c r="G81" s="362"/>
      <x:c r="H81" s="363"/>
      <x:c r="I81" s="363" t="str">
        <x:f>IF($A81="","",'Pricing Rules'!$B$5)</x:f>
      </x:c>
      <x:c r="J81" s="363"/>
      <x:c r="K81" s="363"/>
      <x:c r="L81" s="363" t="str">
        <x:f>IF($A81="","",SUM(H81:K81))</x:f>
      </x:c>
      <x:c r="M81" s="363" t="str">
        <x:f>IF($A81="","",L81*'Pricing Rules'!$B$6)</x:f>
      </x:c>
      <x:c r="N81" s="363" t="str">
        <x:f>IF($A81="","",L81+M81)</x:f>
      </x:c>
      <x:c r="O81" s="363"/>
      <x:c r="P81" s="362"/>
      <x:c r="Q81" s="362"/>
      <x:c r="R81" s="362"/>
      <x:c r="S81" s="365"/>
      <x:c r="T81" s="365"/>
      <x:c r="U81" s="362"/>
      <x:c r="V81" s="362"/>
      <x:c r="W81" s="365"/>
      <x:c r="X81" s="366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361"/>
      <x:c r="B82" s="362"/>
      <x:c r="C82" s="362"/>
      <x:c r="D82" s="362"/>
      <x:c r="E82" s="362"/>
      <x:c r="F82" s="362"/>
      <x:c r="G82" s="362"/>
      <x:c r="H82" s="363"/>
      <x:c r="I82" s="363" t="str">
        <x:f>IF($A82="","",'Pricing Rules'!$B$5)</x:f>
      </x:c>
      <x:c r="J82" s="363"/>
      <x:c r="K82" s="363"/>
      <x:c r="L82" s="363" t="str">
        <x:f>IF($A82="","",SUM(H82:K82))</x:f>
      </x:c>
      <x:c r="M82" s="363" t="str">
        <x:f>IF($A82="","",L82*'Pricing Rules'!$B$6)</x:f>
      </x:c>
      <x:c r="N82" s="363" t="str">
        <x:f>IF($A82="","",L82+M82)</x:f>
      </x:c>
      <x:c r="O82" s="363"/>
      <x:c r="P82" s="362"/>
      <x:c r="Q82" s="362"/>
      <x:c r="R82" s="362"/>
      <x:c r="S82" s="365"/>
      <x:c r="T82" s="365"/>
      <x:c r="U82" s="362"/>
      <x:c r="V82" s="362"/>
      <x:c r="W82" s="365"/>
      <x:c r="X82" s="366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361"/>
      <x:c r="B83" s="362"/>
      <x:c r="C83" s="362"/>
      <x:c r="D83" s="362"/>
      <x:c r="E83" s="362"/>
      <x:c r="F83" s="362"/>
      <x:c r="G83" s="362"/>
      <x:c r="H83" s="363"/>
      <x:c r="I83" s="363" t="str">
        <x:f>IF($A83="","",'Pricing Rules'!$B$5)</x:f>
      </x:c>
      <x:c r="J83" s="363"/>
      <x:c r="K83" s="363"/>
      <x:c r="L83" s="363" t="str">
        <x:f>IF($A83="","",SUM(H83:K83))</x:f>
      </x:c>
      <x:c r="M83" s="363" t="str">
        <x:f>IF($A83="","",L83*'Pricing Rules'!$B$6)</x:f>
      </x:c>
      <x:c r="N83" s="363" t="str">
        <x:f>IF($A83="","",L83+M83)</x:f>
      </x:c>
      <x:c r="O83" s="363"/>
      <x:c r="P83" s="362"/>
      <x:c r="Q83" s="362"/>
      <x:c r="R83" s="362"/>
      <x:c r="S83" s="365"/>
      <x:c r="T83" s="365"/>
      <x:c r="U83" s="362"/>
      <x:c r="V83" s="362"/>
      <x:c r="W83" s="365"/>
      <x:c r="X83" s="366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361"/>
      <x:c r="B84" s="362"/>
      <x:c r="C84" s="362"/>
      <x:c r="D84" s="362"/>
      <x:c r="E84" s="362"/>
      <x:c r="F84" s="362"/>
      <x:c r="G84" s="362"/>
      <x:c r="H84" s="363"/>
      <x:c r="I84" s="363" t="str">
        <x:f>IF($A84="","",'Pricing Rules'!$B$5)</x:f>
      </x:c>
      <x:c r="J84" s="363"/>
      <x:c r="K84" s="363"/>
      <x:c r="L84" s="363" t="str">
        <x:f>IF($A84="","",SUM(H84:K84))</x:f>
      </x:c>
      <x:c r="M84" s="363" t="str">
        <x:f>IF($A84="","",L84*'Pricing Rules'!$B$6)</x:f>
      </x:c>
      <x:c r="N84" s="363" t="str">
        <x:f>IF($A84="","",L84+M84)</x:f>
      </x:c>
      <x:c r="O84" s="363"/>
      <x:c r="P84" s="362"/>
      <x:c r="Q84" s="362"/>
      <x:c r="R84" s="362"/>
      <x:c r="S84" s="365"/>
      <x:c r="T84" s="365"/>
      <x:c r="U84" s="362"/>
      <x:c r="V84" s="362"/>
      <x:c r="W84" s="365"/>
      <x:c r="X84" s="366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361"/>
      <x:c r="B85" s="362"/>
      <x:c r="C85" s="362"/>
      <x:c r="D85" s="362"/>
      <x:c r="E85" s="362"/>
      <x:c r="F85" s="362"/>
      <x:c r="G85" s="362"/>
      <x:c r="H85" s="363"/>
      <x:c r="I85" s="363" t="str">
        <x:f>IF($A85="","",'Pricing Rules'!$B$5)</x:f>
      </x:c>
      <x:c r="J85" s="363"/>
      <x:c r="K85" s="363"/>
      <x:c r="L85" s="363" t="str">
        <x:f>IF($A85="","",SUM(H85:K85))</x:f>
      </x:c>
      <x:c r="M85" s="363" t="str">
        <x:f>IF($A85="","",L85*'Pricing Rules'!$B$6)</x:f>
      </x:c>
      <x:c r="N85" s="363" t="str">
        <x:f>IF($A85="","",L85+M85)</x:f>
      </x:c>
      <x:c r="O85" s="363"/>
      <x:c r="P85" s="362"/>
      <x:c r="Q85" s="362"/>
      <x:c r="R85" s="362"/>
      <x:c r="S85" s="365"/>
      <x:c r="T85" s="365"/>
      <x:c r="U85" s="362"/>
      <x:c r="V85" s="362"/>
      <x:c r="W85" s="365"/>
      <x:c r="X85" s="366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361"/>
      <x:c r="B86" s="362"/>
      <x:c r="C86" s="362"/>
      <x:c r="D86" s="362"/>
      <x:c r="E86" s="362"/>
      <x:c r="F86" s="362"/>
      <x:c r="G86" s="362"/>
      <x:c r="H86" s="363"/>
      <x:c r="I86" s="363" t="str">
        <x:f>IF($A86="","",'Pricing Rules'!$B$5)</x:f>
      </x:c>
      <x:c r="J86" s="363"/>
      <x:c r="K86" s="363"/>
      <x:c r="L86" s="363" t="str">
        <x:f>IF($A86="","",SUM(H86:K86))</x:f>
      </x:c>
      <x:c r="M86" s="363" t="str">
        <x:f>IF($A86="","",L86*'Pricing Rules'!$B$6)</x:f>
      </x:c>
      <x:c r="N86" s="363" t="str">
        <x:f>IF($A86="","",L86+M86)</x:f>
      </x:c>
      <x:c r="O86" s="363"/>
      <x:c r="P86" s="362"/>
      <x:c r="Q86" s="362"/>
      <x:c r="R86" s="362"/>
      <x:c r="S86" s="365"/>
      <x:c r="T86" s="365"/>
      <x:c r="U86" s="362"/>
      <x:c r="V86" s="362"/>
      <x:c r="W86" s="365"/>
      <x:c r="X86" s="366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361"/>
      <x:c r="B87" s="362"/>
      <x:c r="C87" s="362"/>
      <x:c r="D87" s="362"/>
      <x:c r="E87" s="362"/>
      <x:c r="F87" s="362"/>
      <x:c r="G87" s="362"/>
      <x:c r="H87" s="363"/>
      <x:c r="I87" s="363" t="str">
        <x:f>IF($A87="","",'Pricing Rules'!$B$5)</x:f>
      </x:c>
      <x:c r="J87" s="363"/>
      <x:c r="K87" s="363"/>
      <x:c r="L87" s="363" t="str">
        <x:f>IF($A87="","",SUM(H87:K87))</x:f>
      </x:c>
      <x:c r="M87" s="363" t="str">
        <x:f>IF($A87="","",L87*'Pricing Rules'!$B$6)</x:f>
      </x:c>
      <x:c r="N87" s="363" t="str">
        <x:f>IF($A87="","",L87+M87)</x:f>
      </x:c>
      <x:c r="O87" s="363"/>
      <x:c r="P87" s="362"/>
      <x:c r="Q87" s="362"/>
      <x:c r="R87" s="362"/>
      <x:c r="S87" s="365"/>
      <x:c r="T87" s="365"/>
      <x:c r="U87" s="362"/>
      <x:c r="V87" s="362"/>
      <x:c r="W87" s="365"/>
      <x:c r="X87" s="366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361"/>
      <x:c r="B88" s="362"/>
      <x:c r="C88" s="362"/>
      <x:c r="D88" s="362"/>
      <x:c r="E88" s="362"/>
      <x:c r="F88" s="362"/>
      <x:c r="G88" s="362"/>
      <x:c r="H88" s="363"/>
      <x:c r="I88" s="363" t="str">
        <x:f>IF($A88="","",'Pricing Rules'!$B$5)</x:f>
      </x:c>
      <x:c r="J88" s="363"/>
      <x:c r="K88" s="363"/>
      <x:c r="L88" s="363" t="str">
        <x:f>IF($A88="","",SUM(H88:K88))</x:f>
      </x:c>
      <x:c r="M88" s="363" t="str">
        <x:f>IF($A88="","",L88*'Pricing Rules'!$B$6)</x:f>
      </x:c>
      <x:c r="N88" s="363" t="str">
        <x:f>IF($A88="","",L88+M88)</x:f>
      </x:c>
      <x:c r="O88" s="363"/>
      <x:c r="P88" s="362"/>
      <x:c r="Q88" s="362"/>
      <x:c r="R88" s="362"/>
      <x:c r="S88" s="365"/>
      <x:c r="T88" s="365"/>
      <x:c r="U88" s="362"/>
      <x:c r="V88" s="362"/>
      <x:c r="W88" s="365"/>
      <x:c r="X88" s="366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361"/>
      <x:c r="B89" s="362"/>
      <x:c r="C89" s="362"/>
      <x:c r="D89" s="362"/>
      <x:c r="E89" s="362"/>
      <x:c r="F89" s="362"/>
      <x:c r="G89" s="362"/>
      <x:c r="H89" s="363"/>
      <x:c r="I89" s="363" t="str">
        <x:f>IF($A89="","",'Pricing Rules'!$B$5)</x:f>
      </x:c>
      <x:c r="J89" s="363"/>
      <x:c r="K89" s="363"/>
      <x:c r="L89" s="363" t="str">
        <x:f>IF($A89="","",SUM(H89:K89))</x:f>
      </x:c>
      <x:c r="M89" s="363" t="str">
        <x:f>IF($A89="","",L89*'Pricing Rules'!$B$6)</x:f>
      </x:c>
      <x:c r="N89" s="363" t="str">
        <x:f>IF($A89="","",L89+M89)</x:f>
      </x:c>
      <x:c r="O89" s="363"/>
      <x:c r="P89" s="362"/>
      <x:c r="Q89" s="362"/>
      <x:c r="R89" s="362"/>
      <x:c r="S89" s="365"/>
      <x:c r="T89" s="365"/>
      <x:c r="U89" s="362"/>
      <x:c r="V89" s="362"/>
      <x:c r="W89" s="365"/>
      <x:c r="X89" s="366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361"/>
      <x:c r="B90" s="362"/>
      <x:c r="C90" s="362"/>
      <x:c r="D90" s="362"/>
      <x:c r="E90" s="362"/>
      <x:c r="F90" s="362"/>
      <x:c r="G90" s="362"/>
      <x:c r="H90" s="363"/>
      <x:c r="I90" s="363" t="str">
        <x:f>IF($A90="","",'Pricing Rules'!$B$5)</x:f>
      </x:c>
      <x:c r="J90" s="363"/>
      <x:c r="K90" s="363"/>
      <x:c r="L90" s="363" t="str">
        <x:f>IF($A90="","",SUM(H90:K90))</x:f>
      </x:c>
      <x:c r="M90" s="363" t="str">
        <x:f>IF($A90="","",L90*'Pricing Rules'!$B$6)</x:f>
      </x:c>
      <x:c r="N90" s="363" t="str">
        <x:f>IF($A90="","",L90+M90)</x:f>
      </x:c>
      <x:c r="O90" s="363"/>
      <x:c r="P90" s="362"/>
      <x:c r="Q90" s="362"/>
      <x:c r="R90" s="362"/>
      <x:c r="S90" s="365"/>
      <x:c r="T90" s="365"/>
      <x:c r="U90" s="362"/>
      <x:c r="V90" s="362"/>
      <x:c r="W90" s="365"/>
      <x:c r="X90" s="366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361"/>
      <x:c r="B91" s="362"/>
      <x:c r="C91" s="362"/>
      <x:c r="D91" s="362"/>
      <x:c r="E91" s="362"/>
      <x:c r="F91" s="362"/>
      <x:c r="G91" s="362"/>
      <x:c r="H91" s="363"/>
      <x:c r="I91" s="363" t="str">
        <x:f>IF($A91="","",'Pricing Rules'!$B$5)</x:f>
      </x:c>
      <x:c r="J91" s="363"/>
      <x:c r="K91" s="363"/>
      <x:c r="L91" s="363" t="str">
        <x:f>IF($A91="","",SUM(H91:K91))</x:f>
      </x:c>
      <x:c r="M91" s="363" t="str">
        <x:f>IF($A91="","",L91*'Pricing Rules'!$B$6)</x:f>
      </x:c>
      <x:c r="N91" s="363" t="str">
        <x:f>IF($A91="","",L91+M91)</x:f>
      </x:c>
      <x:c r="O91" s="363"/>
      <x:c r="P91" s="362"/>
      <x:c r="Q91" s="362"/>
      <x:c r="R91" s="362"/>
      <x:c r="S91" s="365"/>
      <x:c r="T91" s="365"/>
      <x:c r="U91" s="362"/>
      <x:c r="V91" s="362"/>
      <x:c r="W91" s="365"/>
      <x:c r="X91" s="366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361"/>
      <x:c r="B92" s="362"/>
      <x:c r="C92" s="362"/>
      <x:c r="D92" s="362"/>
      <x:c r="E92" s="362"/>
      <x:c r="F92" s="362"/>
      <x:c r="G92" s="362"/>
      <x:c r="H92" s="363"/>
      <x:c r="I92" s="363" t="str">
        <x:f>IF($A92="","",'Pricing Rules'!$B$5)</x:f>
      </x:c>
      <x:c r="J92" s="363"/>
      <x:c r="K92" s="363"/>
      <x:c r="L92" s="363" t="str">
        <x:f>IF($A92="","",SUM(H92:K92))</x:f>
      </x:c>
      <x:c r="M92" s="363" t="str">
        <x:f>IF($A92="","",L92*'Pricing Rules'!$B$6)</x:f>
      </x:c>
      <x:c r="N92" s="363" t="str">
        <x:f>IF($A92="","",L92+M92)</x:f>
      </x:c>
      <x:c r="O92" s="363"/>
      <x:c r="P92" s="362"/>
      <x:c r="Q92" s="362"/>
      <x:c r="R92" s="362"/>
      <x:c r="S92" s="365"/>
      <x:c r="T92" s="365"/>
      <x:c r="U92" s="362"/>
      <x:c r="V92" s="362"/>
      <x:c r="W92" s="365"/>
      <x:c r="X92" s="366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361"/>
      <x:c r="B93" s="362"/>
      <x:c r="C93" s="362"/>
      <x:c r="D93" s="362"/>
      <x:c r="E93" s="362"/>
      <x:c r="F93" s="362"/>
      <x:c r="G93" s="362"/>
      <x:c r="H93" s="363"/>
      <x:c r="I93" s="363" t="str">
        <x:f>IF($A93="","",'Pricing Rules'!$B$5)</x:f>
      </x:c>
      <x:c r="J93" s="363"/>
      <x:c r="K93" s="363"/>
      <x:c r="L93" s="363" t="str">
        <x:f>IF($A93="","",SUM(H93:K93))</x:f>
      </x:c>
      <x:c r="M93" s="363" t="str">
        <x:f>IF($A93="","",L93*'Pricing Rules'!$B$6)</x:f>
      </x:c>
      <x:c r="N93" s="363" t="str">
        <x:f>IF($A93="","",L93+M93)</x:f>
      </x:c>
      <x:c r="O93" s="363"/>
      <x:c r="P93" s="362"/>
      <x:c r="Q93" s="362"/>
      <x:c r="R93" s="362"/>
      <x:c r="S93" s="365"/>
      <x:c r="T93" s="365"/>
      <x:c r="U93" s="362"/>
      <x:c r="V93" s="362"/>
      <x:c r="W93" s="365"/>
      <x:c r="X93" s="366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361"/>
      <x:c r="B94" s="362"/>
      <x:c r="C94" s="362"/>
      <x:c r="D94" s="362"/>
      <x:c r="E94" s="362"/>
      <x:c r="F94" s="362"/>
      <x:c r="G94" s="362"/>
      <x:c r="H94" s="363"/>
      <x:c r="I94" s="363" t="str">
        <x:f>IF($A94="","",'Pricing Rules'!$B$5)</x:f>
      </x:c>
      <x:c r="J94" s="363"/>
      <x:c r="K94" s="363"/>
      <x:c r="L94" s="363" t="str">
        <x:f>IF($A94="","",SUM(H94:K94))</x:f>
      </x:c>
      <x:c r="M94" s="363" t="str">
        <x:f>IF($A94="","",L94*'Pricing Rules'!$B$6)</x:f>
      </x:c>
      <x:c r="N94" s="363" t="str">
        <x:f>IF($A94="","",L94+M94)</x:f>
      </x:c>
      <x:c r="O94" s="363"/>
      <x:c r="P94" s="362"/>
      <x:c r="Q94" s="362"/>
      <x:c r="R94" s="362"/>
      <x:c r="S94" s="365"/>
      <x:c r="T94" s="365"/>
      <x:c r="U94" s="362"/>
      <x:c r="V94" s="362"/>
      <x:c r="W94" s="365"/>
      <x:c r="X94" s="366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361"/>
      <x:c r="B95" s="362"/>
      <x:c r="C95" s="362"/>
      <x:c r="D95" s="362"/>
      <x:c r="E95" s="362"/>
      <x:c r="F95" s="362"/>
      <x:c r="G95" s="362"/>
      <x:c r="H95" s="363"/>
      <x:c r="I95" s="363" t="str">
        <x:f>IF($A95="","",'Pricing Rules'!$B$5)</x:f>
      </x:c>
      <x:c r="J95" s="363"/>
      <x:c r="K95" s="363"/>
      <x:c r="L95" s="363" t="str">
        <x:f>IF($A95="","",SUM(H95:K95))</x:f>
      </x:c>
      <x:c r="M95" s="363" t="str">
        <x:f>IF($A95="","",L95*'Pricing Rules'!$B$6)</x:f>
      </x:c>
      <x:c r="N95" s="363" t="str">
        <x:f>IF($A95="","",L95+M95)</x:f>
      </x:c>
      <x:c r="O95" s="363"/>
      <x:c r="P95" s="362"/>
      <x:c r="Q95" s="362"/>
      <x:c r="R95" s="362"/>
      <x:c r="S95" s="365"/>
      <x:c r="T95" s="365"/>
      <x:c r="U95" s="362"/>
      <x:c r="V95" s="362"/>
      <x:c r="W95" s="365"/>
      <x:c r="X95" s="366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361"/>
      <x:c r="B96" s="362"/>
      <x:c r="C96" s="362"/>
      <x:c r="D96" s="362"/>
      <x:c r="E96" s="362"/>
      <x:c r="F96" s="362"/>
      <x:c r="G96" s="362"/>
      <x:c r="H96" s="363"/>
      <x:c r="I96" s="363" t="str">
        <x:f>IF($A96="","",'Pricing Rules'!$B$5)</x:f>
      </x:c>
      <x:c r="J96" s="363"/>
      <x:c r="K96" s="363"/>
      <x:c r="L96" s="363" t="str">
        <x:f>IF($A96="","",SUM(H96:K96))</x:f>
      </x:c>
      <x:c r="M96" s="363" t="str">
        <x:f>IF($A96="","",L96*'Pricing Rules'!$B$6)</x:f>
      </x:c>
      <x:c r="N96" s="363" t="str">
        <x:f>IF($A96="","",L96+M96)</x:f>
      </x:c>
      <x:c r="O96" s="363"/>
      <x:c r="P96" s="362"/>
      <x:c r="Q96" s="362"/>
      <x:c r="R96" s="362"/>
      <x:c r="S96" s="365"/>
      <x:c r="T96" s="365"/>
      <x:c r="U96" s="362"/>
      <x:c r="V96" s="362"/>
      <x:c r="W96" s="365"/>
      <x:c r="X96" s="366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361"/>
      <x:c r="B97" s="362"/>
      <x:c r="C97" s="362"/>
      <x:c r="D97" s="362"/>
      <x:c r="E97" s="362"/>
      <x:c r="F97" s="362"/>
      <x:c r="G97" s="362"/>
      <x:c r="H97" s="363"/>
      <x:c r="I97" s="363" t="str">
        <x:f>IF($A97="","",'Pricing Rules'!$B$5)</x:f>
      </x:c>
      <x:c r="J97" s="363"/>
      <x:c r="K97" s="363"/>
      <x:c r="L97" s="363" t="str">
        <x:f>IF($A97="","",SUM(H97:K97))</x:f>
      </x:c>
      <x:c r="M97" s="363" t="str">
        <x:f>IF($A97="","",L97*'Pricing Rules'!$B$6)</x:f>
      </x:c>
      <x:c r="N97" s="363" t="str">
        <x:f>IF($A97="","",L97+M97)</x:f>
      </x:c>
      <x:c r="O97" s="363"/>
      <x:c r="P97" s="362"/>
      <x:c r="Q97" s="362"/>
      <x:c r="R97" s="362"/>
      <x:c r="S97" s="365"/>
      <x:c r="T97" s="365"/>
      <x:c r="U97" s="362"/>
      <x:c r="V97" s="362"/>
      <x:c r="W97" s="365"/>
      <x:c r="X97" s="366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361"/>
      <x:c r="B98" s="362"/>
      <x:c r="C98" s="362"/>
      <x:c r="D98" s="362"/>
      <x:c r="E98" s="362"/>
      <x:c r="F98" s="362"/>
      <x:c r="G98" s="362"/>
      <x:c r="H98" s="363"/>
      <x:c r="I98" s="363" t="str">
        <x:f>IF($A98="","",'Pricing Rules'!$B$5)</x:f>
      </x:c>
      <x:c r="J98" s="363"/>
      <x:c r="K98" s="363"/>
      <x:c r="L98" s="363" t="str">
        <x:f>IF($A98="","",SUM(H98:K98))</x:f>
      </x:c>
      <x:c r="M98" s="363" t="str">
        <x:f>IF($A98="","",L98*'Pricing Rules'!$B$6)</x:f>
      </x:c>
      <x:c r="N98" s="363" t="str">
        <x:f>IF($A98="","",L98+M98)</x:f>
      </x:c>
      <x:c r="O98" s="363"/>
      <x:c r="P98" s="362"/>
      <x:c r="Q98" s="362"/>
      <x:c r="R98" s="362"/>
      <x:c r="S98" s="365"/>
      <x:c r="T98" s="365"/>
      <x:c r="U98" s="362"/>
      <x:c r="V98" s="362"/>
      <x:c r="W98" s="365"/>
      <x:c r="X98" s="366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361"/>
      <x:c r="B99" s="362"/>
      <x:c r="C99" s="362"/>
      <x:c r="D99" s="362"/>
      <x:c r="E99" s="362"/>
      <x:c r="F99" s="362"/>
      <x:c r="G99" s="362"/>
      <x:c r="H99" s="363"/>
      <x:c r="I99" s="363" t="str">
        <x:f>IF($A99="","",'Pricing Rules'!$B$5)</x:f>
      </x:c>
      <x:c r="J99" s="363"/>
      <x:c r="K99" s="363"/>
      <x:c r="L99" s="363" t="str">
        <x:f>IF($A99="","",SUM(H99:K99))</x:f>
      </x:c>
      <x:c r="M99" s="363" t="str">
        <x:f>IF($A99="","",L99*'Pricing Rules'!$B$6)</x:f>
      </x:c>
      <x:c r="N99" s="363" t="str">
        <x:f>IF($A99="","",L99+M99)</x:f>
      </x:c>
      <x:c r="O99" s="363"/>
      <x:c r="P99" s="362"/>
      <x:c r="Q99" s="362"/>
      <x:c r="R99" s="362"/>
      <x:c r="S99" s="365"/>
      <x:c r="T99" s="365"/>
      <x:c r="U99" s="362"/>
      <x:c r="V99" s="362"/>
      <x:c r="W99" s="365"/>
      <x:c r="X99" s="366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361"/>
      <x:c r="B100" s="362"/>
      <x:c r="C100" s="362"/>
      <x:c r="D100" s="362"/>
      <x:c r="E100" s="362"/>
      <x:c r="F100" s="362"/>
      <x:c r="G100" s="362"/>
      <x:c r="H100" s="363"/>
      <x:c r="I100" s="363" t="str">
        <x:f>IF($A100="","",'Pricing Rules'!$B$5)</x:f>
      </x:c>
      <x:c r="J100" s="363"/>
      <x:c r="K100" s="363"/>
      <x:c r="L100" s="363" t="str">
        <x:f>IF($A100="","",SUM(H100:K100))</x:f>
      </x:c>
      <x:c r="M100" s="363" t="str">
        <x:f>IF($A100="","",L100*'Pricing Rules'!$B$6)</x:f>
      </x:c>
      <x:c r="N100" s="363" t="str">
        <x:f>IF($A100="","",L100+M100)</x:f>
      </x:c>
      <x:c r="O100" s="363"/>
      <x:c r="P100" s="362"/>
      <x:c r="Q100" s="362"/>
      <x:c r="R100" s="362"/>
      <x:c r="S100" s="365"/>
      <x:c r="T100" s="365"/>
      <x:c r="U100" s="362"/>
      <x:c r="V100" s="362"/>
      <x:c r="W100" s="365"/>
      <x:c r="X100" s="366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361"/>
      <x:c r="B101" s="362"/>
      <x:c r="C101" s="362"/>
      <x:c r="D101" s="362"/>
      <x:c r="E101" s="362"/>
      <x:c r="F101" s="362"/>
      <x:c r="G101" s="362"/>
      <x:c r="H101" s="363"/>
      <x:c r="I101" s="363" t="str">
        <x:f>IF($A101="","",'Pricing Rules'!$B$5)</x:f>
      </x:c>
      <x:c r="J101" s="363"/>
      <x:c r="K101" s="363"/>
      <x:c r="L101" s="363" t="str">
        <x:f>IF($A101="","",SUM(H101:K101))</x:f>
      </x:c>
      <x:c r="M101" s="363" t="str">
        <x:f>IF($A101="","",L101*'Pricing Rules'!$B$6)</x:f>
      </x:c>
      <x:c r="N101" s="363" t="str">
        <x:f>IF($A101="","",L101+M101)</x:f>
      </x:c>
      <x:c r="O101" s="363"/>
      <x:c r="P101" s="362"/>
      <x:c r="Q101" s="362"/>
      <x:c r="R101" s="362"/>
      <x:c r="S101" s="365"/>
      <x:c r="T101" s="365"/>
      <x:c r="U101" s="362"/>
      <x:c r="V101" s="362"/>
      <x:c r="W101" s="365"/>
      <x:c r="X101" s="366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361"/>
      <x:c r="B102" s="362"/>
      <x:c r="C102" s="362"/>
      <x:c r="D102" s="362"/>
      <x:c r="E102" s="362"/>
      <x:c r="F102" s="362"/>
      <x:c r="G102" s="362"/>
      <x:c r="H102" s="363"/>
      <x:c r="I102" s="363" t="str">
        <x:f>IF($A102="","",'Pricing Rules'!$B$5)</x:f>
      </x:c>
      <x:c r="J102" s="363"/>
      <x:c r="K102" s="363"/>
      <x:c r="L102" s="363" t="str">
        <x:f>IF($A102="","",SUM(H102:K102))</x:f>
      </x:c>
      <x:c r="M102" s="363" t="str">
        <x:f>IF($A102="","",L102*'Pricing Rules'!$B$6)</x:f>
      </x:c>
      <x:c r="N102" s="363" t="str">
        <x:f>IF($A102="","",L102+M102)</x:f>
      </x:c>
      <x:c r="O102" s="363"/>
      <x:c r="P102" s="362"/>
      <x:c r="Q102" s="362"/>
      <x:c r="R102" s="362"/>
      <x:c r="S102" s="365"/>
      <x:c r="T102" s="365"/>
      <x:c r="U102" s="362"/>
      <x:c r="V102" s="362"/>
      <x:c r="W102" s="365"/>
      <x:c r="X102" s="366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361"/>
      <x:c r="B103" s="362"/>
      <x:c r="C103" s="362"/>
      <x:c r="D103" s="362"/>
      <x:c r="E103" s="362"/>
      <x:c r="F103" s="362"/>
      <x:c r="G103" s="362"/>
      <x:c r="H103" s="363"/>
      <x:c r="I103" s="363" t="str">
        <x:f>IF($A103="","",'Pricing Rules'!$B$5)</x:f>
      </x:c>
      <x:c r="J103" s="363"/>
      <x:c r="K103" s="363"/>
      <x:c r="L103" s="363" t="str">
        <x:f>IF($A103="","",SUM(H103:K103))</x:f>
      </x:c>
      <x:c r="M103" s="363" t="str">
        <x:f>IF($A103="","",L103*'Pricing Rules'!$B$6)</x:f>
      </x:c>
      <x:c r="N103" s="363" t="str">
        <x:f>IF($A103="","",L103+M103)</x:f>
      </x:c>
      <x:c r="O103" s="363"/>
      <x:c r="P103" s="362"/>
      <x:c r="Q103" s="362"/>
      <x:c r="R103" s="362"/>
      <x:c r="S103" s="365"/>
      <x:c r="T103" s="365"/>
      <x:c r="U103" s="362"/>
      <x:c r="V103" s="362"/>
      <x:c r="W103" s="365"/>
      <x:c r="X103" s="366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361"/>
      <x:c r="B104" s="362"/>
      <x:c r="C104" s="362"/>
      <x:c r="D104" s="362"/>
      <x:c r="E104" s="362"/>
      <x:c r="F104" s="362"/>
      <x:c r="G104" s="362"/>
      <x:c r="H104" s="363"/>
      <x:c r="I104" s="363" t="str">
        <x:f>IF($A104="","",'Pricing Rules'!$B$5)</x:f>
      </x:c>
      <x:c r="J104" s="363"/>
      <x:c r="K104" s="363"/>
      <x:c r="L104" s="363" t="str">
        <x:f>IF($A104="","",SUM(H104:K104))</x:f>
      </x:c>
      <x:c r="M104" s="363" t="str">
        <x:f>IF($A104="","",L104*'Pricing Rules'!$B$6)</x:f>
      </x:c>
      <x:c r="N104" s="363" t="str">
        <x:f>IF($A104="","",L104+M104)</x:f>
      </x:c>
      <x:c r="O104" s="363"/>
      <x:c r="P104" s="362"/>
      <x:c r="Q104" s="362"/>
      <x:c r="R104" s="362"/>
      <x:c r="S104" s="365"/>
      <x:c r="T104" s="365"/>
      <x:c r="U104" s="362"/>
      <x:c r="V104" s="362"/>
      <x:c r="W104" s="365"/>
      <x:c r="X104" s="366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361"/>
      <x:c r="B105" s="362"/>
      <x:c r="C105" s="362"/>
      <x:c r="D105" s="362"/>
      <x:c r="E105" s="362"/>
      <x:c r="F105" s="362"/>
      <x:c r="G105" s="362"/>
      <x:c r="H105" s="363"/>
      <x:c r="I105" s="363" t="str">
        <x:f>IF($A105="","",'Pricing Rules'!$B$5)</x:f>
      </x:c>
      <x:c r="J105" s="363"/>
      <x:c r="K105" s="363"/>
      <x:c r="L105" s="363" t="str">
        <x:f>IF($A105="","",SUM(H105:K105))</x:f>
      </x:c>
      <x:c r="M105" s="363" t="str">
        <x:f>IF($A105="","",L105*'Pricing Rules'!$B$6)</x:f>
      </x:c>
      <x:c r="N105" s="363" t="str">
        <x:f>IF($A105="","",L105+M105)</x:f>
      </x:c>
      <x:c r="O105" s="363"/>
      <x:c r="P105" s="362"/>
      <x:c r="Q105" s="362"/>
      <x:c r="R105" s="362"/>
      <x:c r="S105" s="365"/>
      <x:c r="T105" s="365"/>
      <x:c r="U105" s="362"/>
      <x:c r="V105" s="362"/>
      <x:c r="W105" s="365"/>
      <x:c r="X105" s="366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361"/>
      <x:c r="B106" s="362"/>
      <x:c r="C106" s="362"/>
      <x:c r="D106" s="362"/>
      <x:c r="E106" s="362"/>
      <x:c r="F106" s="362"/>
      <x:c r="G106" s="362"/>
      <x:c r="H106" s="363"/>
      <x:c r="I106" s="363" t="str">
        <x:f>IF($A106="","",'Pricing Rules'!$B$5)</x:f>
      </x:c>
      <x:c r="J106" s="363"/>
      <x:c r="K106" s="363"/>
      <x:c r="L106" s="363" t="str">
        <x:f>IF($A106="","",SUM(H106:K106))</x:f>
      </x:c>
      <x:c r="M106" s="363" t="str">
        <x:f>IF($A106="","",L106*'Pricing Rules'!$B$6)</x:f>
      </x:c>
      <x:c r="N106" s="363" t="str">
        <x:f>IF($A106="","",L106+M106)</x:f>
      </x:c>
      <x:c r="O106" s="363"/>
      <x:c r="P106" s="362"/>
      <x:c r="Q106" s="362"/>
      <x:c r="R106" s="362"/>
      <x:c r="S106" s="365"/>
      <x:c r="T106" s="365"/>
      <x:c r="U106" s="362"/>
      <x:c r="V106" s="362"/>
      <x:c r="W106" s="365"/>
      <x:c r="X106" s="366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361"/>
      <x:c r="B107" s="362"/>
      <x:c r="C107" s="362"/>
      <x:c r="D107" s="362"/>
      <x:c r="E107" s="362"/>
      <x:c r="F107" s="362"/>
      <x:c r="G107" s="362"/>
      <x:c r="H107" s="363"/>
      <x:c r="I107" s="363" t="str">
        <x:f>IF($A107="","",'Pricing Rules'!$B$5)</x:f>
      </x:c>
      <x:c r="J107" s="363"/>
      <x:c r="K107" s="363"/>
      <x:c r="L107" s="363" t="str">
        <x:f>IF($A107="","",SUM(H107:K107))</x:f>
      </x:c>
      <x:c r="M107" s="363" t="str">
        <x:f>IF($A107="","",L107*'Pricing Rules'!$B$6)</x:f>
      </x:c>
      <x:c r="N107" s="363" t="str">
        <x:f>IF($A107="","",L107+M107)</x:f>
      </x:c>
      <x:c r="O107" s="363"/>
      <x:c r="P107" s="362"/>
      <x:c r="Q107" s="362"/>
      <x:c r="R107" s="362"/>
      <x:c r="S107" s="365"/>
      <x:c r="T107" s="365"/>
      <x:c r="U107" s="362"/>
      <x:c r="V107" s="362"/>
      <x:c r="W107" s="365"/>
      <x:c r="X107" s="366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361"/>
      <x:c r="B108" s="362"/>
      <x:c r="C108" s="362"/>
      <x:c r="D108" s="362"/>
      <x:c r="E108" s="362"/>
      <x:c r="F108" s="362"/>
      <x:c r="G108" s="362"/>
      <x:c r="H108" s="363"/>
      <x:c r="I108" s="363" t="str">
        <x:f>IF($A108="","",'Pricing Rules'!$B$5)</x:f>
      </x:c>
      <x:c r="J108" s="363"/>
      <x:c r="K108" s="363"/>
      <x:c r="L108" s="363" t="str">
        <x:f>IF($A108="","",SUM(H108:K108))</x:f>
      </x:c>
      <x:c r="M108" s="363" t="str">
        <x:f>IF($A108="","",L108*'Pricing Rules'!$B$6)</x:f>
      </x:c>
      <x:c r="N108" s="363" t="str">
        <x:f>IF($A108="","",L108+M108)</x:f>
      </x:c>
      <x:c r="O108" s="363"/>
      <x:c r="P108" s="362"/>
      <x:c r="Q108" s="362"/>
      <x:c r="R108" s="362"/>
      <x:c r="S108" s="365"/>
      <x:c r="T108" s="365"/>
      <x:c r="U108" s="362"/>
      <x:c r="V108" s="362"/>
      <x:c r="W108" s="365"/>
      <x:c r="X108" s="366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361"/>
      <x:c r="B109" s="362"/>
      <x:c r="C109" s="362"/>
      <x:c r="D109" s="362"/>
      <x:c r="E109" s="362"/>
      <x:c r="F109" s="362"/>
      <x:c r="G109" s="362"/>
      <x:c r="H109" s="363"/>
      <x:c r="I109" s="363" t="str">
        <x:f>IF($A109="","",'Pricing Rules'!$B$5)</x:f>
      </x:c>
      <x:c r="J109" s="363"/>
      <x:c r="K109" s="363"/>
      <x:c r="L109" s="363" t="str">
        <x:f>IF($A109="","",SUM(H109:K109))</x:f>
      </x:c>
      <x:c r="M109" s="363" t="str">
        <x:f>IF($A109="","",L109*'Pricing Rules'!$B$6)</x:f>
      </x:c>
      <x:c r="N109" s="363" t="str">
        <x:f>IF($A109="","",L109+M109)</x:f>
      </x:c>
      <x:c r="O109" s="363"/>
      <x:c r="P109" s="362"/>
      <x:c r="Q109" s="362"/>
      <x:c r="R109" s="362"/>
      <x:c r="S109" s="365"/>
      <x:c r="T109" s="365"/>
      <x:c r="U109" s="362"/>
      <x:c r="V109" s="362"/>
      <x:c r="W109" s="365"/>
      <x:c r="X109" s="366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361"/>
      <x:c r="B110" s="362"/>
      <x:c r="C110" s="362"/>
      <x:c r="D110" s="362"/>
      <x:c r="E110" s="362"/>
      <x:c r="F110" s="362"/>
      <x:c r="G110" s="362"/>
      <x:c r="H110" s="363"/>
      <x:c r="I110" s="363" t="str">
        <x:f>IF($A110="","",'Pricing Rules'!$B$5)</x:f>
      </x:c>
      <x:c r="J110" s="363"/>
      <x:c r="K110" s="363"/>
      <x:c r="L110" s="363" t="str">
        <x:f>IF($A110="","",SUM(H110:K110))</x:f>
      </x:c>
      <x:c r="M110" s="363" t="str">
        <x:f>IF($A110="","",L110*'Pricing Rules'!$B$6)</x:f>
      </x:c>
      <x:c r="N110" s="363" t="str">
        <x:f>IF($A110="","",L110+M110)</x:f>
      </x:c>
      <x:c r="O110" s="363"/>
      <x:c r="P110" s="362"/>
      <x:c r="Q110" s="362"/>
      <x:c r="R110" s="362"/>
      <x:c r="S110" s="365"/>
      <x:c r="T110" s="365"/>
      <x:c r="U110" s="362"/>
      <x:c r="V110" s="362"/>
      <x:c r="W110" s="365"/>
      <x:c r="X110" s="366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361"/>
      <x:c r="B111" s="362"/>
      <x:c r="C111" s="362"/>
      <x:c r="D111" s="362"/>
      <x:c r="E111" s="362"/>
      <x:c r="F111" s="362"/>
      <x:c r="G111" s="362"/>
      <x:c r="H111" s="363"/>
      <x:c r="I111" s="363" t="str">
        <x:f>IF($A111="","",'Pricing Rules'!$B$5)</x:f>
      </x:c>
      <x:c r="J111" s="363"/>
      <x:c r="K111" s="363"/>
      <x:c r="L111" s="363" t="str">
        <x:f>IF($A111="","",SUM(H111:K111))</x:f>
      </x:c>
      <x:c r="M111" s="363" t="str">
        <x:f>IF($A111="","",L111*'Pricing Rules'!$B$6)</x:f>
      </x:c>
      <x:c r="N111" s="363" t="str">
        <x:f>IF($A111="","",L111+M111)</x:f>
      </x:c>
      <x:c r="O111" s="363"/>
      <x:c r="P111" s="362"/>
      <x:c r="Q111" s="362"/>
      <x:c r="R111" s="362"/>
      <x:c r="S111" s="365"/>
      <x:c r="T111" s="365"/>
      <x:c r="U111" s="362"/>
      <x:c r="V111" s="362"/>
      <x:c r="W111" s="365"/>
      <x:c r="X111" s="366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361"/>
      <x:c r="B112" s="362"/>
      <x:c r="C112" s="362"/>
      <x:c r="D112" s="362"/>
      <x:c r="E112" s="362"/>
      <x:c r="F112" s="362"/>
      <x:c r="G112" s="362"/>
      <x:c r="H112" s="363"/>
      <x:c r="I112" s="363" t="str">
        <x:f>IF($A112="","",'Pricing Rules'!$B$5)</x:f>
      </x:c>
      <x:c r="J112" s="363"/>
      <x:c r="K112" s="363"/>
      <x:c r="L112" s="363" t="str">
        <x:f>IF($A112="","",SUM(H112:K112))</x:f>
      </x:c>
      <x:c r="M112" s="363" t="str">
        <x:f>IF($A112="","",L112*'Pricing Rules'!$B$6)</x:f>
      </x:c>
      <x:c r="N112" s="363" t="str">
        <x:f>IF($A112="","",L112+M112)</x:f>
      </x:c>
      <x:c r="O112" s="363"/>
      <x:c r="P112" s="362"/>
      <x:c r="Q112" s="362"/>
      <x:c r="R112" s="362"/>
      <x:c r="S112" s="365"/>
      <x:c r="T112" s="365"/>
      <x:c r="U112" s="362"/>
      <x:c r="V112" s="362"/>
      <x:c r="W112" s="365"/>
      <x:c r="X112" s="366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361"/>
      <x:c r="B113" s="362"/>
      <x:c r="C113" s="362"/>
      <x:c r="D113" s="362"/>
      <x:c r="E113" s="362"/>
      <x:c r="F113" s="362"/>
      <x:c r="G113" s="362"/>
      <x:c r="H113" s="363"/>
      <x:c r="I113" s="363" t="str">
        <x:f>IF($A113="","",'Pricing Rules'!$B$5)</x:f>
      </x:c>
      <x:c r="J113" s="363"/>
      <x:c r="K113" s="363"/>
      <x:c r="L113" s="363" t="str">
        <x:f>IF($A113="","",SUM(H113:K113))</x:f>
      </x:c>
      <x:c r="M113" s="363" t="str">
        <x:f>IF($A113="","",L113*'Pricing Rules'!$B$6)</x:f>
      </x:c>
      <x:c r="N113" s="363" t="str">
        <x:f>IF($A113="","",L113+M113)</x:f>
      </x:c>
      <x:c r="O113" s="363"/>
      <x:c r="P113" s="362"/>
      <x:c r="Q113" s="362"/>
      <x:c r="R113" s="362"/>
      <x:c r="S113" s="365"/>
      <x:c r="T113" s="365"/>
      <x:c r="U113" s="362"/>
      <x:c r="V113" s="362"/>
      <x:c r="W113" s="365"/>
      <x:c r="X113" s="366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361"/>
      <x:c r="B114" s="362"/>
      <x:c r="C114" s="362"/>
      <x:c r="D114" s="362"/>
      <x:c r="E114" s="362"/>
      <x:c r="F114" s="362"/>
      <x:c r="G114" s="362"/>
      <x:c r="H114" s="363"/>
      <x:c r="I114" s="363" t="str">
        <x:f>IF($A114="","",'Pricing Rules'!$B$5)</x:f>
      </x:c>
      <x:c r="J114" s="363"/>
      <x:c r="K114" s="363"/>
      <x:c r="L114" s="363" t="str">
        <x:f>IF($A114="","",SUM(H114:K114))</x:f>
      </x:c>
      <x:c r="M114" s="363" t="str">
        <x:f>IF($A114="","",L114*'Pricing Rules'!$B$6)</x:f>
      </x:c>
      <x:c r="N114" s="363" t="str">
        <x:f>IF($A114="","",L114+M114)</x:f>
      </x:c>
      <x:c r="O114" s="363"/>
      <x:c r="P114" s="362"/>
      <x:c r="Q114" s="362"/>
      <x:c r="R114" s="362"/>
      <x:c r="S114" s="365"/>
      <x:c r="T114" s="365"/>
      <x:c r="U114" s="362"/>
      <x:c r="V114" s="362"/>
      <x:c r="W114" s="365"/>
      <x:c r="X114" s="366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361"/>
      <x:c r="B115" s="362"/>
      <x:c r="C115" s="362"/>
      <x:c r="D115" s="362"/>
      <x:c r="E115" s="362"/>
      <x:c r="F115" s="362"/>
      <x:c r="G115" s="362"/>
      <x:c r="H115" s="363"/>
      <x:c r="I115" s="363" t="str">
        <x:f>IF($A115="","",'Pricing Rules'!$B$5)</x:f>
      </x:c>
      <x:c r="J115" s="363"/>
      <x:c r="K115" s="363"/>
      <x:c r="L115" s="363" t="str">
        <x:f>IF($A115="","",SUM(H115:K115))</x:f>
      </x:c>
      <x:c r="M115" s="363" t="str">
        <x:f>IF($A115="","",L115*'Pricing Rules'!$B$6)</x:f>
      </x:c>
      <x:c r="N115" s="363" t="str">
        <x:f>IF($A115="","",L115+M115)</x:f>
      </x:c>
      <x:c r="O115" s="363"/>
      <x:c r="P115" s="362"/>
      <x:c r="Q115" s="362"/>
      <x:c r="R115" s="362"/>
      <x:c r="S115" s="365"/>
      <x:c r="T115" s="365"/>
      <x:c r="U115" s="362"/>
      <x:c r="V115" s="362"/>
      <x:c r="W115" s="365"/>
      <x:c r="X115" s="366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361"/>
      <x:c r="B116" s="362"/>
      <x:c r="C116" s="362"/>
      <x:c r="D116" s="362"/>
      <x:c r="E116" s="362"/>
      <x:c r="F116" s="362"/>
      <x:c r="G116" s="362"/>
      <x:c r="H116" s="363"/>
      <x:c r="I116" s="363" t="str">
        <x:f>IF($A116="","",'Pricing Rules'!$B$5)</x:f>
      </x:c>
      <x:c r="J116" s="363"/>
      <x:c r="K116" s="363"/>
      <x:c r="L116" s="363" t="str">
        <x:f>IF($A116="","",SUM(H116:K116))</x:f>
      </x:c>
      <x:c r="M116" s="363" t="str">
        <x:f>IF($A116="","",L116*'Pricing Rules'!$B$6)</x:f>
      </x:c>
      <x:c r="N116" s="363" t="str">
        <x:f>IF($A116="","",L116+M116)</x:f>
      </x:c>
      <x:c r="O116" s="363"/>
      <x:c r="P116" s="362"/>
      <x:c r="Q116" s="362"/>
      <x:c r="R116" s="362"/>
      <x:c r="S116" s="365"/>
      <x:c r="T116" s="365"/>
      <x:c r="U116" s="362"/>
      <x:c r="V116" s="362"/>
      <x:c r="W116" s="365"/>
      <x:c r="X116" s="366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361"/>
      <x:c r="B117" s="362"/>
      <x:c r="C117" s="362"/>
      <x:c r="D117" s="362"/>
      <x:c r="E117" s="362"/>
      <x:c r="F117" s="362"/>
      <x:c r="G117" s="362"/>
      <x:c r="H117" s="363"/>
      <x:c r="I117" s="363" t="str">
        <x:f>IF($A117="","",'Pricing Rules'!$B$5)</x:f>
      </x:c>
      <x:c r="J117" s="363"/>
      <x:c r="K117" s="363"/>
      <x:c r="L117" s="363" t="str">
        <x:f>IF($A117="","",SUM(H117:K117))</x:f>
      </x:c>
      <x:c r="M117" s="363" t="str">
        <x:f>IF($A117="","",L117*'Pricing Rules'!$B$6)</x:f>
      </x:c>
      <x:c r="N117" s="363" t="str">
        <x:f>IF($A117="","",L117+M117)</x:f>
      </x:c>
      <x:c r="O117" s="363"/>
      <x:c r="P117" s="362"/>
      <x:c r="Q117" s="362"/>
      <x:c r="R117" s="362"/>
      <x:c r="S117" s="365"/>
      <x:c r="T117" s="365"/>
      <x:c r="U117" s="362"/>
      <x:c r="V117" s="362"/>
      <x:c r="W117" s="365"/>
      <x:c r="X117" s="366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361"/>
      <x:c r="B118" s="362"/>
      <x:c r="C118" s="362"/>
      <x:c r="D118" s="362"/>
      <x:c r="E118" s="362"/>
      <x:c r="F118" s="362"/>
      <x:c r="G118" s="362"/>
      <x:c r="H118" s="363"/>
      <x:c r="I118" s="363" t="str">
        <x:f>IF($A118="","",'Pricing Rules'!$B$5)</x:f>
      </x:c>
      <x:c r="J118" s="363"/>
      <x:c r="K118" s="363"/>
      <x:c r="L118" s="363" t="str">
        <x:f>IF($A118="","",SUM(H118:K118))</x:f>
      </x:c>
      <x:c r="M118" s="363" t="str">
        <x:f>IF($A118="","",L118*'Pricing Rules'!$B$6)</x:f>
      </x:c>
      <x:c r="N118" s="363" t="str">
        <x:f>IF($A118="","",L118+M118)</x:f>
      </x:c>
      <x:c r="O118" s="363"/>
      <x:c r="P118" s="362"/>
      <x:c r="Q118" s="362"/>
      <x:c r="R118" s="362"/>
      <x:c r="S118" s="365"/>
      <x:c r="T118" s="365"/>
      <x:c r="U118" s="362"/>
      <x:c r="V118" s="362"/>
      <x:c r="W118" s="365"/>
      <x:c r="X118" s="366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361"/>
      <x:c r="B119" s="362"/>
      <x:c r="C119" s="362"/>
      <x:c r="D119" s="362"/>
      <x:c r="E119" s="362"/>
      <x:c r="F119" s="362"/>
      <x:c r="G119" s="362"/>
      <x:c r="H119" s="363"/>
      <x:c r="I119" s="363" t="str">
        <x:f>IF($A119="","",'Pricing Rules'!$B$5)</x:f>
      </x:c>
      <x:c r="J119" s="363"/>
      <x:c r="K119" s="363"/>
      <x:c r="L119" s="363" t="str">
        <x:f>IF($A119="","",SUM(H119:K119))</x:f>
      </x:c>
      <x:c r="M119" s="363" t="str">
        <x:f>IF($A119="","",L119*'Pricing Rules'!$B$6)</x:f>
      </x:c>
      <x:c r="N119" s="363" t="str">
        <x:f>IF($A119="","",L119+M119)</x:f>
      </x:c>
      <x:c r="O119" s="363"/>
      <x:c r="P119" s="362"/>
      <x:c r="Q119" s="362"/>
      <x:c r="R119" s="362"/>
      <x:c r="S119" s="365"/>
      <x:c r="T119" s="365"/>
      <x:c r="U119" s="362"/>
      <x:c r="V119" s="362"/>
      <x:c r="W119" s="365"/>
      <x:c r="X119" s="366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361"/>
      <x:c r="B120" s="362"/>
      <x:c r="C120" s="362"/>
      <x:c r="D120" s="362"/>
      <x:c r="E120" s="362"/>
      <x:c r="F120" s="362"/>
      <x:c r="G120" s="362"/>
      <x:c r="H120" s="363"/>
      <x:c r="I120" s="363" t="str">
        <x:f>IF($A120="","",'Pricing Rules'!$B$5)</x:f>
      </x:c>
      <x:c r="J120" s="363"/>
      <x:c r="K120" s="363"/>
      <x:c r="L120" s="363" t="str">
        <x:f>IF($A120="","",SUM(H120:K120))</x:f>
      </x:c>
      <x:c r="M120" s="363" t="str">
        <x:f>IF($A120="","",L120*'Pricing Rules'!$B$6)</x:f>
      </x:c>
      <x:c r="N120" s="363" t="str">
        <x:f>IF($A120="","",L120+M120)</x:f>
      </x:c>
      <x:c r="O120" s="363"/>
      <x:c r="P120" s="362"/>
      <x:c r="Q120" s="362"/>
      <x:c r="R120" s="362"/>
      <x:c r="S120" s="365"/>
      <x:c r="T120" s="365"/>
      <x:c r="U120" s="362"/>
      <x:c r="V120" s="362"/>
      <x:c r="W120" s="365"/>
      <x:c r="X120" s="366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361"/>
      <x:c r="B121" s="362"/>
      <x:c r="C121" s="362"/>
      <x:c r="D121" s="362"/>
      <x:c r="E121" s="362"/>
      <x:c r="F121" s="362"/>
      <x:c r="G121" s="362"/>
      <x:c r="H121" s="363"/>
      <x:c r="I121" s="363" t="str">
        <x:f>IF($A121="","",'Pricing Rules'!$B$5)</x:f>
      </x:c>
      <x:c r="J121" s="363"/>
      <x:c r="K121" s="363"/>
      <x:c r="L121" s="363" t="str">
        <x:f>IF($A121="","",SUM(H121:K121))</x:f>
      </x:c>
      <x:c r="M121" s="363" t="str">
        <x:f>IF($A121="","",L121*'Pricing Rules'!$B$6)</x:f>
      </x:c>
      <x:c r="N121" s="363" t="str">
        <x:f>IF($A121="","",L121+M121)</x:f>
      </x:c>
      <x:c r="O121" s="363"/>
      <x:c r="P121" s="362"/>
      <x:c r="Q121" s="362"/>
      <x:c r="R121" s="362"/>
      <x:c r="S121" s="365"/>
      <x:c r="T121" s="365"/>
      <x:c r="U121" s="362"/>
      <x:c r="V121" s="362"/>
      <x:c r="W121" s="365"/>
      <x:c r="X121" s="366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361"/>
      <x:c r="B122" s="362"/>
      <x:c r="C122" s="362"/>
      <x:c r="D122" s="362"/>
      <x:c r="E122" s="362"/>
      <x:c r="F122" s="362"/>
      <x:c r="G122" s="362"/>
      <x:c r="H122" s="363"/>
      <x:c r="I122" s="363" t="str">
        <x:f>IF($A122="","",'Pricing Rules'!$B$5)</x:f>
      </x:c>
      <x:c r="J122" s="363"/>
      <x:c r="K122" s="363"/>
      <x:c r="L122" s="363" t="str">
        <x:f>IF($A122="","",SUM(H122:K122))</x:f>
      </x:c>
      <x:c r="M122" s="363" t="str">
        <x:f>IF($A122="","",L122*'Pricing Rules'!$B$6)</x:f>
      </x:c>
      <x:c r="N122" s="363" t="str">
        <x:f>IF($A122="","",L122+M122)</x:f>
      </x:c>
      <x:c r="O122" s="363"/>
      <x:c r="P122" s="362"/>
      <x:c r="Q122" s="362"/>
      <x:c r="R122" s="362"/>
      <x:c r="S122" s="365"/>
      <x:c r="T122" s="365"/>
      <x:c r="U122" s="362"/>
      <x:c r="V122" s="362"/>
      <x:c r="W122" s="365"/>
      <x:c r="X122" s="366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361"/>
      <x:c r="B123" s="362"/>
      <x:c r="C123" s="362"/>
      <x:c r="D123" s="362"/>
      <x:c r="E123" s="362"/>
      <x:c r="F123" s="362"/>
      <x:c r="G123" s="362"/>
      <x:c r="H123" s="363"/>
      <x:c r="I123" s="363" t="str">
        <x:f>IF($A123="","",'Pricing Rules'!$B$5)</x:f>
      </x:c>
      <x:c r="J123" s="363"/>
      <x:c r="K123" s="363"/>
      <x:c r="L123" s="363" t="str">
        <x:f>IF($A123="","",SUM(H123:K123))</x:f>
      </x:c>
      <x:c r="M123" s="363" t="str">
        <x:f>IF($A123="","",L123*'Pricing Rules'!$B$6)</x:f>
      </x:c>
      <x:c r="N123" s="363" t="str">
        <x:f>IF($A123="","",L123+M123)</x:f>
      </x:c>
      <x:c r="O123" s="363"/>
      <x:c r="P123" s="362"/>
      <x:c r="Q123" s="362"/>
      <x:c r="R123" s="362"/>
      <x:c r="S123" s="365"/>
      <x:c r="T123" s="365"/>
      <x:c r="U123" s="362"/>
      <x:c r="V123" s="362"/>
      <x:c r="W123" s="365"/>
      <x:c r="X123" s="366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361"/>
      <x:c r="B124" s="362"/>
      <x:c r="C124" s="362"/>
      <x:c r="D124" s="362"/>
      <x:c r="E124" s="362"/>
      <x:c r="F124" s="362"/>
      <x:c r="G124" s="362"/>
      <x:c r="H124" s="363"/>
      <x:c r="I124" s="363" t="str">
        <x:f>IF($A124="","",'Pricing Rules'!$B$5)</x:f>
      </x:c>
      <x:c r="J124" s="363"/>
      <x:c r="K124" s="363"/>
      <x:c r="L124" s="363" t="str">
        <x:f>IF($A124="","",SUM(H124:K124))</x:f>
      </x:c>
      <x:c r="M124" s="363" t="str">
        <x:f>IF($A124="","",L124*'Pricing Rules'!$B$6)</x:f>
      </x:c>
      <x:c r="N124" s="363" t="str">
        <x:f>IF($A124="","",L124+M124)</x:f>
      </x:c>
      <x:c r="O124" s="363"/>
      <x:c r="P124" s="362"/>
      <x:c r="Q124" s="362"/>
      <x:c r="R124" s="362"/>
      <x:c r="S124" s="365"/>
      <x:c r="T124" s="365"/>
      <x:c r="U124" s="362"/>
      <x:c r="V124" s="362"/>
      <x:c r="W124" s="365"/>
      <x:c r="X124" s="366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361"/>
      <x:c r="B125" s="362"/>
      <x:c r="C125" s="362"/>
      <x:c r="D125" s="362"/>
      <x:c r="E125" s="362"/>
      <x:c r="F125" s="362"/>
      <x:c r="G125" s="362"/>
      <x:c r="H125" s="363"/>
      <x:c r="I125" s="363" t="str">
        <x:f>IF($A125="","",'Pricing Rules'!$B$5)</x:f>
      </x:c>
      <x:c r="J125" s="363"/>
      <x:c r="K125" s="363"/>
      <x:c r="L125" s="363" t="str">
        <x:f>IF($A125="","",SUM(H125:K125))</x:f>
      </x:c>
      <x:c r="M125" s="363" t="str">
        <x:f>IF($A125="","",L125*'Pricing Rules'!$B$6)</x:f>
      </x:c>
      <x:c r="N125" s="363" t="str">
        <x:f>IF($A125="","",L125+M125)</x:f>
      </x:c>
      <x:c r="O125" s="363"/>
      <x:c r="P125" s="362"/>
      <x:c r="Q125" s="362"/>
      <x:c r="R125" s="362"/>
      <x:c r="S125" s="365"/>
      <x:c r="T125" s="365"/>
      <x:c r="U125" s="362"/>
      <x:c r="V125" s="362"/>
      <x:c r="W125" s="365"/>
      <x:c r="X125" s="366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361"/>
      <x:c r="B126" s="362"/>
      <x:c r="C126" s="362"/>
      <x:c r="D126" s="362"/>
      <x:c r="E126" s="362"/>
      <x:c r="F126" s="362"/>
      <x:c r="G126" s="362"/>
      <x:c r="H126" s="363"/>
      <x:c r="I126" s="363" t="str">
        <x:f>IF($A126="","",'Pricing Rules'!$B$5)</x:f>
      </x:c>
      <x:c r="J126" s="363"/>
      <x:c r="K126" s="363"/>
      <x:c r="L126" s="363" t="str">
        <x:f>IF($A126="","",SUM(H126:K126))</x:f>
      </x:c>
      <x:c r="M126" s="363" t="str">
        <x:f>IF($A126="","",L126*'Pricing Rules'!$B$6)</x:f>
      </x:c>
      <x:c r="N126" s="363" t="str">
        <x:f>IF($A126="","",L126+M126)</x:f>
      </x:c>
      <x:c r="O126" s="363"/>
      <x:c r="P126" s="362"/>
      <x:c r="Q126" s="362"/>
      <x:c r="R126" s="362"/>
      <x:c r="S126" s="365"/>
      <x:c r="T126" s="365"/>
      <x:c r="U126" s="362"/>
      <x:c r="V126" s="362"/>
      <x:c r="W126" s="365"/>
      <x:c r="X126" s="366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361"/>
      <x:c r="B127" s="362"/>
      <x:c r="C127" s="362"/>
      <x:c r="D127" s="362"/>
      <x:c r="E127" s="362"/>
      <x:c r="F127" s="362"/>
      <x:c r="G127" s="362"/>
      <x:c r="H127" s="363"/>
      <x:c r="I127" s="363" t="str">
        <x:f>IF($A127="","",'Pricing Rules'!$B$5)</x:f>
      </x:c>
      <x:c r="J127" s="363"/>
      <x:c r="K127" s="363"/>
      <x:c r="L127" s="363" t="str">
        <x:f>IF($A127="","",SUM(H127:K127))</x:f>
      </x:c>
      <x:c r="M127" s="363" t="str">
        <x:f>IF($A127="","",L127*'Pricing Rules'!$B$6)</x:f>
      </x:c>
      <x:c r="N127" s="363" t="str">
        <x:f>IF($A127="","",L127+M127)</x:f>
      </x:c>
      <x:c r="O127" s="363"/>
      <x:c r="P127" s="362"/>
      <x:c r="Q127" s="362"/>
      <x:c r="R127" s="362"/>
      <x:c r="S127" s="365"/>
      <x:c r="T127" s="365"/>
      <x:c r="U127" s="362"/>
      <x:c r="V127" s="362"/>
      <x:c r="W127" s="365"/>
      <x:c r="X127" s="366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361"/>
      <x:c r="B128" s="362"/>
      <x:c r="C128" s="362"/>
      <x:c r="D128" s="362"/>
      <x:c r="E128" s="362"/>
      <x:c r="F128" s="362"/>
      <x:c r="G128" s="362"/>
      <x:c r="H128" s="363"/>
      <x:c r="I128" s="363" t="str">
        <x:f>IF($A128="","",'Pricing Rules'!$B$5)</x:f>
      </x:c>
      <x:c r="J128" s="363"/>
      <x:c r="K128" s="363"/>
      <x:c r="L128" s="363" t="str">
        <x:f>IF($A128="","",SUM(H128:K128))</x:f>
      </x:c>
      <x:c r="M128" s="363" t="str">
        <x:f>IF($A128="","",L128*'Pricing Rules'!$B$6)</x:f>
      </x:c>
      <x:c r="N128" s="363" t="str">
        <x:f>IF($A128="","",L128+M128)</x:f>
      </x:c>
      <x:c r="O128" s="363"/>
      <x:c r="P128" s="362"/>
      <x:c r="Q128" s="362"/>
      <x:c r="R128" s="362"/>
      <x:c r="S128" s="365"/>
      <x:c r="T128" s="365"/>
      <x:c r="U128" s="362"/>
      <x:c r="V128" s="362"/>
      <x:c r="W128" s="365"/>
      <x:c r="X128" s="366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361"/>
      <x:c r="B129" s="362"/>
      <x:c r="C129" s="362"/>
      <x:c r="D129" s="362"/>
      <x:c r="E129" s="362"/>
      <x:c r="F129" s="362"/>
      <x:c r="G129" s="362"/>
      <x:c r="H129" s="363"/>
      <x:c r="I129" s="363" t="str">
        <x:f>IF($A129="","",'Pricing Rules'!$B$5)</x:f>
      </x:c>
      <x:c r="J129" s="363"/>
      <x:c r="K129" s="363"/>
      <x:c r="L129" s="363" t="str">
        <x:f>IF($A129="","",SUM(H129:K129))</x:f>
      </x:c>
      <x:c r="M129" s="363" t="str">
        <x:f>IF($A129="","",L129*'Pricing Rules'!$B$6)</x:f>
      </x:c>
      <x:c r="N129" s="363" t="str">
        <x:f>IF($A129="","",L129+M129)</x:f>
      </x:c>
      <x:c r="O129" s="363"/>
      <x:c r="P129" s="362"/>
      <x:c r="Q129" s="362"/>
      <x:c r="R129" s="362"/>
      <x:c r="S129" s="365"/>
      <x:c r="T129" s="365"/>
      <x:c r="U129" s="362"/>
      <x:c r="V129" s="362"/>
      <x:c r="W129" s="365"/>
      <x:c r="X129" s="366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361"/>
      <x:c r="B130" s="362"/>
      <x:c r="C130" s="362"/>
      <x:c r="D130" s="362"/>
      <x:c r="E130" s="362"/>
      <x:c r="F130" s="362"/>
      <x:c r="G130" s="362"/>
      <x:c r="H130" s="363"/>
      <x:c r="I130" s="363" t="str">
        <x:f>IF($A130="","",'Pricing Rules'!$B$5)</x:f>
      </x:c>
      <x:c r="J130" s="363"/>
      <x:c r="K130" s="363"/>
      <x:c r="L130" s="363" t="str">
        <x:f>IF($A130="","",SUM(H130:K130))</x:f>
      </x:c>
      <x:c r="M130" s="363" t="str">
        <x:f>IF($A130="","",L130*'Pricing Rules'!$B$6)</x:f>
      </x:c>
      <x:c r="N130" s="363" t="str">
        <x:f>IF($A130="","",L130+M130)</x:f>
      </x:c>
      <x:c r="O130" s="363"/>
      <x:c r="P130" s="362"/>
      <x:c r="Q130" s="362"/>
      <x:c r="R130" s="362"/>
      <x:c r="S130" s="365"/>
      <x:c r="T130" s="365"/>
      <x:c r="U130" s="362"/>
      <x:c r="V130" s="362"/>
      <x:c r="W130" s="365"/>
      <x:c r="X130" s="366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361"/>
      <x:c r="B131" s="362"/>
      <x:c r="C131" s="362"/>
      <x:c r="D131" s="362"/>
      <x:c r="E131" s="362"/>
      <x:c r="F131" s="362"/>
      <x:c r="G131" s="362"/>
      <x:c r="H131" s="363"/>
      <x:c r="I131" s="363" t="str">
        <x:f>IF($A131="","",'Pricing Rules'!$B$5)</x:f>
      </x:c>
      <x:c r="J131" s="363"/>
      <x:c r="K131" s="363"/>
      <x:c r="L131" s="363" t="str">
        <x:f>IF($A131="","",SUM(H131:K131))</x:f>
      </x:c>
      <x:c r="M131" s="363" t="str">
        <x:f>IF($A131="","",L131*'Pricing Rules'!$B$6)</x:f>
      </x:c>
      <x:c r="N131" s="363" t="str">
        <x:f>IF($A131="","",L131+M131)</x:f>
      </x:c>
      <x:c r="O131" s="363"/>
      <x:c r="P131" s="362"/>
      <x:c r="Q131" s="362"/>
      <x:c r="R131" s="362"/>
      <x:c r="S131" s="365"/>
      <x:c r="T131" s="365"/>
      <x:c r="U131" s="362"/>
      <x:c r="V131" s="362"/>
      <x:c r="W131" s="365"/>
      <x:c r="X131" s="366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361"/>
      <x:c r="B132" s="362"/>
      <x:c r="C132" s="362"/>
      <x:c r="D132" s="362"/>
      <x:c r="E132" s="362"/>
      <x:c r="F132" s="362"/>
      <x:c r="G132" s="362"/>
      <x:c r="H132" s="363"/>
      <x:c r="I132" s="363" t="str">
        <x:f>IF($A132="","",'Pricing Rules'!$B$5)</x:f>
      </x:c>
      <x:c r="J132" s="363"/>
      <x:c r="K132" s="363"/>
      <x:c r="L132" s="363" t="str">
        <x:f>IF($A132="","",SUM(H132:K132))</x:f>
      </x:c>
      <x:c r="M132" s="363" t="str">
        <x:f>IF($A132="","",L132*'Pricing Rules'!$B$6)</x:f>
      </x:c>
      <x:c r="N132" s="363" t="str">
        <x:f>IF($A132="","",L132+M132)</x:f>
      </x:c>
      <x:c r="O132" s="363"/>
      <x:c r="P132" s="362"/>
      <x:c r="Q132" s="362"/>
      <x:c r="R132" s="362"/>
      <x:c r="S132" s="365"/>
      <x:c r="T132" s="365"/>
      <x:c r="U132" s="362"/>
      <x:c r="V132" s="362"/>
      <x:c r="W132" s="365"/>
      <x:c r="X132" s="366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361"/>
      <x:c r="B133" s="362"/>
      <x:c r="C133" s="362"/>
      <x:c r="D133" s="362"/>
      <x:c r="E133" s="362"/>
      <x:c r="F133" s="362"/>
      <x:c r="G133" s="362"/>
      <x:c r="H133" s="363"/>
      <x:c r="I133" s="363" t="str">
        <x:f>IF($A133="","",'Pricing Rules'!$B$5)</x:f>
      </x:c>
      <x:c r="J133" s="363"/>
      <x:c r="K133" s="363"/>
      <x:c r="L133" s="363" t="str">
        <x:f>IF($A133="","",SUM(H133:K133))</x:f>
      </x:c>
      <x:c r="M133" s="363" t="str">
        <x:f>IF($A133="","",L133*'Pricing Rules'!$B$6)</x:f>
      </x:c>
      <x:c r="N133" s="363" t="str">
        <x:f>IF($A133="","",L133+M133)</x:f>
      </x:c>
      <x:c r="O133" s="363"/>
      <x:c r="P133" s="362"/>
      <x:c r="Q133" s="362"/>
      <x:c r="R133" s="362"/>
      <x:c r="S133" s="365"/>
      <x:c r="T133" s="365"/>
      <x:c r="U133" s="362"/>
      <x:c r="V133" s="362"/>
      <x:c r="W133" s="365"/>
      <x:c r="X133" s="366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361"/>
      <x:c r="B134" s="362"/>
      <x:c r="C134" s="362"/>
      <x:c r="D134" s="362"/>
      <x:c r="E134" s="362"/>
      <x:c r="F134" s="362"/>
      <x:c r="G134" s="362"/>
      <x:c r="H134" s="363"/>
      <x:c r="I134" s="363" t="str">
        <x:f>IF($A134="","",'Pricing Rules'!$B$5)</x:f>
      </x:c>
      <x:c r="J134" s="363"/>
      <x:c r="K134" s="363"/>
      <x:c r="L134" s="363" t="str">
        <x:f>IF($A134="","",SUM(H134:K134))</x:f>
      </x:c>
      <x:c r="M134" s="363" t="str">
        <x:f>IF($A134="","",L134*'Pricing Rules'!$B$6)</x:f>
      </x:c>
      <x:c r="N134" s="363" t="str">
        <x:f>IF($A134="","",L134+M134)</x:f>
      </x:c>
      <x:c r="O134" s="363"/>
      <x:c r="P134" s="362"/>
      <x:c r="Q134" s="362"/>
      <x:c r="R134" s="362"/>
      <x:c r="S134" s="365"/>
      <x:c r="T134" s="365"/>
      <x:c r="U134" s="362"/>
      <x:c r="V134" s="362"/>
      <x:c r="W134" s="365"/>
      <x:c r="X134" s="366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361"/>
      <x:c r="B135" s="362"/>
      <x:c r="C135" s="362"/>
      <x:c r="D135" s="362"/>
      <x:c r="E135" s="362"/>
      <x:c r="F135" s="362"/>
      <x:c r="G135" s="362"/>
      <x:c r="H135" s="363"/>
      <x:c r="I135" s="363" t="str">
        <x:f>IF($A135="","",'Pricing Rules'!$B$5)</x:f>
      </x:c>
      <x:c r="J135" s="363"/>
      <x:c r="K135" s="363"/>
      <x:c r="L135" s="363" t="str">
        <x:f>IF($A135="","",SUM(H135:K135))</x:f>
      </x:c>
      <x:c r="M135" s="363" t="str">
        <x:f>IF($A135="","",L135*'Pricing Rules'!$B$6)</x:f>
      </x:c>
      <x:c r="N135" s="363" t="str">
        <x:f>IF($A135="","",L135+M135)</x:f>
      </x:c>
      <x:c r="O135" s="363"/>
      <x:c r="P135" s="362"/>
      <x:c r="Q135" s="362"/>
      <x:c r="R135" s="362"/>
      <x:c r="S135" s="365"/>
      <x:c r="T135" s="365"/>
      <x:c r="U135" s="362"/>
      <x:c r="V135" s="362"/>
      <x:c r="W135" s="365"/>
      <x:c r="X135" s="366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361"/>
      <x:c r="B136" s="362"/>
      <x:c r="C136" s="362"/>
      <x:c r="D136" s="362"/>
      <x:c r="E136" s="362"/>
      <x:c r="F136" s="362"/>
      <x:c r="G136" s="362"/>
      <x:c r="H136" s="363"/>
      <x:c r="I136" s="363" t="str">
        <x:f>IF($A136="","",'Pricing Rules'!$B$5)</x:f>
      </x:c>
      <x:c r="J136" s="363"/>
      <x:c r="K136" s="363"/>
      <x:c r="L136" s="363" t="str">
        <x:f>IF($A136="","",SUM(H136:K136))</x:f>
      </x:c>
      <x:c r="M136" s="363" t="str">
        <x:f>IF($A136="","",L136*'Pricing Rules'!$B$6)</x:f>
      </x:c>
      <x:c r="N136" s="363" t="str">
        <x:f>IF($A136="","",L136+M136)</x:f>
      </x:c>
      <x:c r="O136" s="363"/>
      <x:c r="P136" s="362"/>
      <x:c r="Q136" s="362"/>
      <x:c r="R136" s="362"/>
      <x:c r="S136" s="365"/>
      <x:c r="T136" s="365"/>
      <x:c r="U136" s="362"/>
      <x:c r="V136" s="362"/>
      <x:c r="W136" s="365"/>
      <x:c r="X136" s="366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361"/>
      <x:c r="B137" s="362"/>
      <x:c r="C137" s="362"/>
      <x:c r="D137" s="362"/>
      <x:c r="E137" s="362"/>
      <x:c r="F137" s="362"/>
      <x:c r="G137" s="362"/>
      <x:c r="H137" s="363"/>
      <x:c r="I137" s="363" t="str">
        <x:f>IF($A137="","",'Pricing Rules'!$B$5)</x:f>
      </x:c>
      <x:c r="J137" s="363"/>
      <x:c r="K137" s="363"/>
      <x:c r="L137" s="363" t="str">
        <x:f>IF($A137="","",SUM(H137:K137))</x:f>
      </x:c>
      <x:c r="M137" s="363" t="str">
        <x:f>IF($A137="","",L137*'Pricing Rules'!$B$6)</x:f>
      </x:c>
      <x:c r="N137" s="363" t="str">
        <x:f>IF($A137="","",L137+M137)</x:f>
      </x:c>
      <x:c r="O137" s="363"/>
      <x:c r="P137" s="362"/>
      <x:c r="Q137" s="362"/>
      <x:c r="R137" s="362"/>
      <x:c r="S137" s="365"/>
      <x:c r="T137" s="365"/>
      <x:c r="U137" s="362"/>
      <x:c r="V137" s="362"/>
      <x:c r="W137" s="365"/>
      <x:c r="X137" s="366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361"/>
      <x:c r="B138" s="362"/>
      <x:c r="C138" s="362"/>
      <x:c r="D138" s="362"/>
      <x:c r="E138" s="362"/>
      <x:c r="F138" s="362"/>
      <x:c r="G138" s="362"/>
      <x:c r="H138" s="363"/>
      <x:c r="I138" s="363" t="str">
        <x:f>IF($A138="","",'Pricing Rules'!$B$5)</x:f>
      </x:c>
      <x:c r="J138" s="363"/>
      <x:c r="K138" s="363"/>
      <x:c r="L138" s="363" t="str">
        <x:f>IF($A138="","",SUM(H138:K138))</x:f>
      </x:c>
      <x:c r="M138" s="363" t="str">
        <x:f>IF($A138="","",L138*'Pricing Rules'!$B$6)</x:f>
      </x:c>
      <x:c r="N138" s="363" t="str">
        <x:f>IF($A138="","",L138+M138)</x:f>
      </x:c>
      <x:c r="O138" s="363"/>
      <x:c r="P138" s="362"/>
      <x:c r="Q138" s="362"/>
      <x:c r="R138" s="362"/>
      <x:c r="S138" s="365"/>
      <x:c r="T138" s="365"/>
      <x:c r="U138" s="362"/>
      <x:c r="V138" s="362"/>
      <x:c r="W138" s="365"/>
      <x:c r="X138" s="366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361"/>
      <x:c r="B139" s="362"/>
      <x:c r="C139" s="362"/>
      <x:c r="D139" s="362"/>
      <x:c r="E139" s="362"/>
      <x:c r="F139" s="362"/>
      <x:c r="G139" s="362"/>
      <x:c r="H139" s="363"/>
      <x:c r="I139" s="363" t="str">
        <x:f>IF($A139="","",'Pricing Rules'!$B$5)</x:f>
      </x:c>
      <x:c r="J139" s="363"/>
      <x:c r="K139" s="363"/>
      <x:c r="L139" s="363" t="str">
        <x:f>IF($A139="","",SUM(H139:K139))</x:f>
      </x:c>
      <x:c r="M139" s="363" t="str">
        <x:f>IF($A139="","",L139*'Pricing Rules'!$B$6)</x:f>
      </x:c>
      <x:c r="N139" s="363" t="str">
        <x:f>IF($A139="","",L139+M139)</x:f>
      </x:c>
      <x:c r="O139" s="363"/>
      <x:c r="P139" s="362"/>
      <x:c r="Q139" s="362"/>
      <x:c r="R139" s="362"/>
      <x:c r="S139" s="365"/>
      <x:c r="T139" s="365"/>
      <x:c r="U139" s="362"/>
      <x:c r="V139" s="362"/>
      <x:c r="W139" s="365"/>
      <x:c r="X139" s="366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361"/>
      <x:c r="B140" s="362"/>
      <x:c r="C140" s="362"/>
      <x:c r="D140" s="362"/>
      <x:c r="E140" s="362"/>
      <x:c r="F140" s="362"/>
      <x:c r="G140" s="362"/>
      <x:c r="H140" s="363"/>
      <x:c r="I140" s="363" t="str">
        <x:f>IF($A140="","",'Pricing Rules'!$B$5)</x:f>
      </x:c>
      <x:c r="J140" s="363"/>
      <x:c r="K140" s="363"/>
      <x:c r="L140" s="363" t="str">
        <x:f>IF($A140="","",SUM(H140:K140))</x:f>
      </x:c>
      <x:c r="M140" s="363" t="str">
        <x:f>IF($A140="","",L140*'Pricing Rules'!$B$6)</x:f>
      </x:c>
      <x:c r="N140" s="363" t="str">
        <x:f>IF($A140="","",L140+M140)</x:f>
      </x:c>
      <x:c r="O140" s="363"/>
      <x:c r="P140" s="362"/>
      <x:c r="Q140" s="362"/>
      <x:c r="R140" s="362"/>
      <x:c r="S140" s="365"/>
      <x:c r="T140" s="365"/>
      <x:c r="U140" s="362"/>
      <x:c r="V140" s="362"/>
      <x:c r="W140" s="365"/>
      <x:c r="X140" s="366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361"/>
      <x:c r="B141" s="362"/>
      <x:c r="C141" s="362"/>
      <x:c r="D141" s="362"/>
      <x:c r="E141" s="362"/>
      <x:c r="F141" s="362"/>
      <x:c r="G141" s="362"/>
      <x:c r="H141" s="363"/>
      <x:c r="I141" s="363" t="str">
        <x:f>IF($A141="","",'Pricing Rules'!$B$5)</x:f>
      </x:c>
      <x:c r="J141" s="363"/>
      <x:c r="K141" s="363"/>
      <x:c r="L141" s="363" t="str">
        <x:f>IF($A141="","",SUM(H141:K141))</x:f>
      </x:c>
      <x:c r="M141" s="363" t="str">
        <x:f>IF($A141="","",L141*'Pricing Rules'!$B$6)</x:f>
      </x:c>
      <x:c r="N141" s="363" t="str">
        <x:f>IF($A141="","",L141+M141)</x:f>
      </x:c>
      <x:c r="O141" s="363"/>
      <x:c r="P141" s="362"/>
      <x:c r="Q141" s="362"/>
      <x:c r="R141" s="362"/>
      <x:c r="S141" s="365"/>
      <x:c r="T141" s="365"/>
      <x:c r="U141" s="362"/>
      <x:c r="V141" s="362"/>
      <x:c r="W141" s="365"/>
      <x:c r="X141" s="366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361"/>
      <x:c r="B142" s="362"/>
      <x:c r="C142" s="362"/>
      <x:c r="D142" s="362"/>
      <x:c r="E142" s="362"/>
      <x:c r="F142" s="362"/>
      <x:c r="G142" s="362"/>
      <x:c r="H142" s="363"/>
      <x:c r="I142" s="363" t="str">
        <x:f>IF($A142="","",'Pricing Rules'!$B$5)</x:f>
      </x:c>
      <x:c r="J142" s="363"/>
      <x:c r="K142" s="363"/>
      <x:c r="L142" s="363" t="str">
        <x:f>IF($A142="","",SUM(H142:K142))</x:f>
      </x:c>
      <x:c r="M142" s="363" t="str">
        <x:f>IF($A142="","",L142*'Pricing Rules'!$B$6)</x:f>
      </x:c>
      <x:c r="N142" s="363" t="str">
        <x:f>IF($A142="","",L142+M142)</x:f>
      </x:c>
      <x:c r="O142" s="363"/>
      <x:c r="P142" s="362"/>
      <x:c r="Q142" s="362"/>
      <x:c r="R142" s="362"/>
      <x:c r="S142" s="365"/>
      <x:c r="T142" s="365"/>
      <x:c r="U142" s="362"/>
      <x:c r="V142" s="362"/>
      <x:c r="W142" s="365"/>
      <x:c r="X142" s="366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361"/>
      <x:c r="B143" s="362"/>
      <x:c r="C143" s="362"/>
      <x:c r="D143" s="362"/>
      <x:c r="E143" s="362"/>
      <x:c r="F143" s="362"/>
      <x:c r="G143" s="362"/>
      <x:c r="H143" s="363"/>
      <x:c r="I143" s="363" t="str">
        <x:f>IF($A143="","",'Pricing Rules'!$B$5)</x:f>
      </x:c>
      <x:c r="J143" s="363"/>
      <x:c r="K143" s="363"/>
      <x:c r="L143" s="363" t="str">
        <x:f>IF($A143="","",SUM(H143:K143))</x:f>
      </x:c>
      <x:c r="M143" s="363" t="str">
        <x:f>IF($A143="","",L143*'Pricing Rules'!$B$6)</x:f>
      </x:c>
      <x:c r="N143" s="363" t="str">
        <x:f>IF($A143="","",L143+M143)</x:f>
      </x:c>
      <x:c r="O143" s="363"/>
      <x:c r="P143" s="362"/>
      <x:c r="Q143" s="362"/>
      <x:c r="R143" s="362"/>
      <x:c r="S143" s="365"/>
      <x:c r="T143" s="365"/>
      <x:c r="U143" s="362"/>
      <x:c r="V143" s="362"/>
      <x:c r="W143" s="365"/>
      <x:c r="X143" s="366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361"/>
      <x:c r="B144" s="362"/>
      <x:c r="C144" s="362"/>
      <x:c r="D144" s="362"/>
      <x:c r="E144" s="362"/>
      <x:c r="F144" s="362"/>
      <x:c r="G144" s="362"/>
      <x:c r="H144" s="363"/>
      <x:c r="I144" s="363" t="str">
        <x:f>IF($A144="","",'Pricing Rules'!$B$5)</x:f>
      </x:c>
      <x:c r="J144" s="363"/>
      <x:c r="K144" s="363"/>
      <x:c r="L144" s="363" t="str">
        <x:f>IF($A144="","",SUM(H144:K144))</x:f>
      </x:c>
      <x:c r="M144" s="363" t="str">
        <x:f>IF($A144="","",L144*'Pricing Rules'!$B$6)</x:f>
      </x:c>
      <x:c r="N144" s="363" t="str">
        <x:f>IF($A144="","",L144+M144)</x:f>
      </x:c>
      <x:c r="O144" s="363"/>
      <x:c r="P144" s="362"/>
      <x:c r="Q144" s="362"/>
      <x:c r="R144" s="362"/>
      <x:c r="S144" s="365"/>
      <x:c r="T144" s="365"/>
      <x:c r="U144" s="362"/>
      <x:c r="V144" s="362"/>
      <x:c r="W144" s="365"/>
      <x:c r="X144" s="366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361"/>
      <x:c r="B145" s="362"/>
      <x:c r="C145" s="362"/>
      <x:c r="D145" s="362"/>
      <x:c r="E145" s="362"/>
      <x:c r="F145" s="362"/>
      <x:c r="G145" s="362"/>
      <x:c r="H145" s="363"/>
      <x:c r="I145" s="363" t="str">
        <x:f>IF($A145="","",'Pricing Rules'!$B$5)</x:f>
      </x:c>
      <x:c r="J145" s="363"/>
      <x:c r="K145" s="363"/>
      <x:c r="L145" s="363" t="str">
        <x:f>IF($A145="","",SUM(H145:K145))</x:f>
      </x:c>
      <x:c r="M145" s="363" t="str">
        <x:f>IF($A145="","",L145*'Pricing Rules'!$B$6)</x:f>
      </x:c>
      <x:c r="N145" s="363" t="str">
        <x:f>IF($A145="","",L145+M145)</x:f>
      </x:c>
      <x:c r="O145" s="363"/>
      <x:c r="P145" s="362"/>
      <x:c r="Q145" s="362"/>
      <x:c r="R145" s="362"/>
      <x:c r="S145" s="365"/>
      <x:c r="T145" s="365"/>
      <x:c r="U145" s="362"/>
      <x:c r="V145" s="362"/>
      <x:c r="W145" s="365"/>
      <x:c r="X145" s="366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361"/>
      <x:c r="B146" s="362"/>
      <x:c r="C146" s="362"/>
      <x:c r="D146" s="362"/>
      <x:c r="E146" s="362"/>
      <x:c r="F146" s="362"/>
      <x:c r="G146" s="362"/>
      <x:c r="H146" s="363"/>
      <x:c r="I146" s="363" t="str">
        <x:f>IF($A146="","",'Pricing Rules'!$B$5)</x:f>
      </x:c>
      <x:c r="J146" s="363"/>
      <x:c r="K146" s="363"/>
      <x:c r="L146" s="363" t="str">
        <x:f>IF($A146="","",SUM(H146:K146))</x:f>
      </x:c>
      <x:c r="M146" s="363" t="str">
        <x:f>IF($A146="","",L146*'Pricing Rules'!$B$6)</x:f>
      </x:c>
      <x:c r="N146" s="363" t="str">
        <x:f>IF($A146="","",L146+M146)</x:f>
      </x:c>
      <x:c r="O146" s="363"/>
      <x:c r="P146" s="362"/>
      <x:c r="Q146" s="362"/>
      <x:c r="R146" s="362"/>
      <x:c r="S146" s="365"/>
      <x:c r="T146" s="365"/>
      <x:c r="U146" s="362"/>
      <x:c r="V146" s="362"/>
      <x:c r="W146" s="365"/>
      <x:c r="X146" s="366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361"/>
      <x:c r="B147" s="362"/>
      <x:c r="C147" s="362"/>
      <x:c r="D147" s="362"/>
      <x:c r="E147" s="362"/>
      <x:c r="F147" s="362"/>
      <x:c r="G147" s="362"/>
      <x:c r="H147" s="363"/>
      <x:c r="I147" s="363" t="str">
        <x:f>IF($A147="","",'Pricing Rules'!$B$5)</x:f>
      </x:c>
      <x:c r="J147" s="363"/>
      <x:c r="K147" s="363"/>
      <x:c r="L147" s="363" t="str">
        <x:f>IF($A147="","",SUM(H147:K147))</x:f>
      </x:c>
      <x:c r="M147" s="363" t="str">
        <x:f>IF($A147="","",L147*'Pricing Rules'!$B$6)</x:f>
      </x:c>
      <x:c r="N147" s="363" t="str">
        <x:f>IF($A147="","",L147+M147)</x:f>
      </x:c>
      <x:c r="O147" s="363"/>
      <x:c r="P147" s="362"/>
      <x:c r="Q147" s="362"/>
      <x:c r="R147" s="362"/>
      <x:c r="S147" s="365"/>
      <x:c r="T147" s="365"/>
      <x:c r="U147" s="362"/>
      <x:c r="V147" s="362"/>
      <x:c r="W147" s="365"/>
      <x:c r="X147" s="366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361"/>
      <x:c r="B148" s="362"/>
      <x:c r="C148" s="362"/>
      <x:c r="D148" s="362"/>
      <x:c r="E148" s="362"/>
      <x:c r="F148" s="362"/>
      <x:c r="G148" s="362"/>
      <x:c r="H148" s="363"/>
      <x:c r="I148" s="363" t="str">
        <x:f>IF($A148="","",'Pricing Rules'!$B$5)</x:f>
      </x:c>
      <x:c r="J148" s="363"/>
      <x:c r="K148" s="363"/>
      <x:c r="L148" s="363" t="str">
        <x:f>IF($A148="","",SUM(H148:K148))</x:f>
      </x:c>
      <x:c r="M148" s="363" t="str">
        <x:f>IF($A148="","",L148*'Pricing Rules'!$B$6)</x:f>
      </x:c>
      <x:c r="N148" s="363" t="str">
        <x:f>IF($A148="","",L148+M148)</x:f>
      </x:c>
      <x:c r="O148" s="363"/>
      <x:c r="P148" s="362"/>
      <x:c r="Q148" s="362"/>
      <x:c r="R148" s="362"/>
      <x:c r="S148" s="365"/>
      <x:c r="T148" s="365"/>
      <x:c r="U148" s="362"/>
      <x:c r="V148" s="362"/>
      <x:c r="W148" s="365"/>
      <x:c r="X148" s="366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361"/>
      <x:c r="B149" s="362"/>
      <x:c r="C149" s="362"/>
      <x:c r="D149" s="362"/>
      <x:c r="E149" s="362"/>
      <x:c r="F149" s="362"/>
      <x:c r="G149" s="362"/>
      <x:c r="H149" s="363"/>
      <x:c r="I149" s="363" t="str">
        <x:f>IF($A149="","",'Pricing Rules'!$B$5)</x:f>
      </x:c>
      <x:c r="J149" s="363"/>
      <x:c r="K149" s="363"/>
      <x:c r="L149" s="363" t="str">
        <x:f>IF($A149="","",SUM(H149:K149))</x:f>
      </x:c>
      <x:c r="M149" s="363" t="str">
        <x:f>IF($A149="","",L149*'Pricing Rules'!$B$6)</x:f>
      </x:c>
      <x:c r="N149" s="363" t="str">
        <x:f>IF($A149="","",L149+M149)</x:f>
      </x:c>
      <x:c r="O149" s="363"/>
      <x:c r="P149" s="362"/>
      <x:c r="Q149" s="362"/>
      <x:c r="R149" s="362"/>
      <x:c r="S149" s="365"/>
      <x:c r="T149" s="365"/>
      <x:c r="U149" s="362"/>
      <x:c r="V149" s="362"/>
      <x:c r="W149" s="365"/>
      <x:c r="X149" s="366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361"/>
      <x:c r="B150" s="362"/>
      <x:c r="C150" s="362"/>
      <x:c r="D150" s="362"/>
      <x:c r="E150" s="362"/>
      <x:c r="F150" s="362"/>
      <x:c r="G150" s="362"/>
      <x:c r="H150" s="363"/>
      <x:c r="I150" s="363" t="str">
        <x:f>IF($A150="","",'Pricing Rules'!$B$5)</x:f>
      </x:c>
      <x:c r="J150" s="363"/>
      <x:c r="K150" s="363"/>
      <x:c r="L150" s="363" t="str">
        <x:f>IF($A150="","",SUM(H150:K150))</x:f>
      </x:c>
      <x:c r="M150" s="363" t="str">
        <x:f>IF($A150="","",L150*'Pricing Rules'!$B$6)</x:f>
      </x:c>
      <x:c r="N150" s="363" t="str">
        <x:f>IF($A150="","",L150+M150)</x:f>
      </x:c>
      <x:c r="O150" s="363"/>
      <x:c r="P150" s="362"/>
      <x:c r="Q150" s="362"/>
      <x:c r="R150" s="362"/>
      <x:c r="S150" s="365"/>
      <x:c r="T150" s="365"/>
      <x:c r="U150" s="362"/>
      <x:c r="V150" s="362"/>
      <x:c r="W150" s="365"/>
      <x:c r="X150" s="366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361"/>
      <x:c r="B151" s="362"/>
      <x:c r="C151" s="362"/>
      <x:c r="D151" s="362"/>
      <x:c r="E151" s="362"/>
      <x:c r="F151" s="362"/>
      <x:c r="G151" s="362"/>
      <x:c r="H151" s="363"/>
      <x:c r="I151" s="363" t="str">
        <x:f>IF($A151="","",'Pricing Rules'!$B$5)</x:f>
      </x:c>
      <x:c r="J151" s="363"/>
      <x:c r="K151" s="363"/>
      <x:c r="L151" s="363" t="str">
        <x:f>IF($A151="","",SUM(H151:K151))</x:f>
      </x:c>
      <x:c r="M151" s="363" t="str">
        <x:f>IF($A151="","",L151*'Pricing Rules'!$B$6)</x:f>
      </x:c>
      <x:c r="N151" s="363" t="str">
        <x:f>IF($A151="","",L151+M151)</x:f>
      </x:c>
      <x:c r="O151" s="363"/>
      <x:c r="P151" s="362"/>
      <x:c r="Q151" s="362"/>
      <x:c r="R151" s="362"/>
      <x:c r="S151" s="365"/>
      <x:c r="T151" s="365"/>
      <x:c r="U151" s="362"/>
      <x:c r="V151" s="362"/>
      <x:c r="W151" s="365"/>
      <x:c r="X151" s="366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361"/>
      <x:c r="B152" s="362"/>
      <x:c r="C152" s="362"/>
      <x:c r="D152" s="362"/>
      <x:c r="E152" s="362"/>
      <x:c r="F152" s="362"/>
      <x:c r="G152" s="362"/>
      <x:c r="H152" s="363"/>
      <x:c r="I152" s="363" t="str">
        <x:f>IF($A152="","",'Pricing Rules'!$B$5)</x:f>
      </x:c>
      <x:c r="J152" s="363"/>
      <x:c r="K152" s="363"/>
      <x:c r="L152" s="363" t="str">
        <x:f>IF($A152="","",SUM(H152:K152))</x:f>
      </x:c>
      <x:c r="M152" s="363" t="str">
        <x:f>IF($A152="","",L152*'Pricing Rules'!$B$6)</x:f>
      </x:c>
      <x:c r="N152" s="363" t="str">
        <x:f>IF($A152="","",L152+M152)</x:f>
      </x:c>
      <x:c r="O152" s="363"/>
      <x:c r="P152" s="362"/>
      <x:c r="Q152" s="362"/>
      <x:c r="R152" s="362"/>
      <x:c r="S152" s="365"/>
      <x:c r="T152" s="365"/>
      <x:c r="U152" s="362"/>
      <x:c r="V152" s="362"/>
      <x:c r="W152" s="365"/>
      <x:c r="X152" s="366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361"/>
      <x:c r="B153" s="362"/>
      <x:c r="C153" s="362"/>
      <x:c r="D153" s="362"/>
      <x:c r="E153" s="362"/>
      <x:c r="F153" s="362"/>
      <x:c r="G153" s="362"/>
      <x:c r="H153" s="363"/>
      <x:c r="I153" s="363" t="str">
        <x:f>IF($A153="","",'Pricing Rules'!$B$5)</x:f>
      </x:c>
      <x:c r="J153" s="363"/>
      <x:c r="K153" s="363"/>
      <x:c r="L153" s="363" t="str">
        <x:f>IF($A153="","",SUM(H153:K153))</x:f>
      </x:c>
      <x:c r="M153" s="363" t="str">
        <x:f>IF($A153="","",L153*'Pricing Rules'!$B$6)</x:f>
      </x:c>
      <x:c r="N153" s="363" t="str">
        <x:f>IF($A153="","",L153+M153)</x:f>
      </x:c>
      <x:c r="O153" s="363"/>
      <x:c r="P153" s="362"/>
      <x:c r="Q153" s="362"/>
      <x:c r="R153" s="362"/>
      <x:c r="S153" s="365"/>
      <x:c r="T153" s="365"/>
      <x:c r="U153" s="362"/>
      <x:c r="V153" s="362"/>
      <x:c r="W153" s="365"/>
      <x:c r="X153" s="366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361"/>
      <x:c r="B154" s="362"/>
      <x:c r="C154" s="362"/>
      <x:c r="D154" s="362"/>
      <x:c r="E154" s="362"/>
      <x:c r="F154" s="362"/>
      <x:c r="G154" s="362"/>
      <x:c r="H154" s="363"/>
      <x:c r="I154" s="363" t="str">
        <x:f>IF($A154="","",'Pricing Rules'!$B$5)</x:f>
      </x:c>
      <x:c r="J154" s="363"/>
      <x:c r="K154" s="363"/>
      <x:c r="L154" s="363" t="str">
        <x:f>IF($A154="","",SUM(H154:K154))</x:f>
      </x:c>
      <x:c r="M154" s="363" t="str">
        <x:f>IF($A154="","",L154*'Pricing Rules'!$B$6)</x:f>
      </x:c>
      <x:c r="N154" s="363" t="str">
        <x:f>IF($A154="","",L154+M154)</x:f>
      </x:c>
      <x:c r="O154" s="363"/>
      <x:c r="P154" s="362"/>
      <x:c r="Q154" s="362"/>
      <x:c r="R154" s="362"/>
      <x:c r="S154" s="365"/>
      <x:c r="T154" s="365"/>
      <x:c r="U154" s="362"/>
      <x:c r="V154" s="362"/>
      <x:c r="W154" s="365"/>
      <x:c r="X154" s="366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361"/>
      <x:c r="B155" s="362"/>
      <x:c r="C155" s="362"/>
      <x:c r="D155" s="362"/>
      <x:c r="E155" s="362"/>
      <x:c r="F155" s="362"/>
      <x:c r="G155" s="362"/>
      <x:c r="H155" s="363"/>
      <x:c r="I155" s="363" t="str">
        <x:f>IF($A155="","",'Pricing Rules'!$B$5)</x:f>
      </x:c>
      <x:c r="J155" s="363"/>
      <x:c r="K155" s="363"/>
      <x:c r="L155" s="363" t="str">
        <x:f>IF($A155="","",SUM(H155:K155))</x:f>
      </x:c>
      <x:c r="M155" s="363" t="str">
        <x:f>IF($A155="","",L155*'Pricing Rules'!$B$6)</x:f>
      </x:c>
      <x:c r="N155" s="363" t="str">
        <x:f>IF($A155="","",L155+M155)</x:f>
      </x:c>
      <x:c r="O155" s="363"/>
      <x:c r="P155" s="362"/>
      <x:c r="Q155" s="362"/>
      <x:c r="R155" s="362"/>
      <x:c r="S155" s="365"/>
      <x:c r="T155" s="365"/>
      <x:c r="U155" s="362"/>
      <x:c r="V155" s="362"/>
      <x:c r="W155" s="365"/>
      <x:c r="X155" s="366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361"/>
      <x:c r="B156" s="362"/>
      <x:c r="C156" s="362"/>
      <x:c r="D156" s="362"/>
      <x:c r="E156" s="362"/>
      <x:c r="F156" s="362"/>
      <x:c r="G156" s="362"/>
      <x:c r="H156" s="363"/>
      <x:c r="I156" s="363" t="str">
        <x:f>IF($A156="","",'Pricing Rules'!$B$5)</x:f>
      </x:c>
      <x:c r="J156" s="363"/>
      <x:c r="K156" s="363"/>
      <x:c r="L156" s="363" t="str">
        <x:f>IF($A156="","",SUM(H156:K156))</x:f>
      </x:c>
      <x:c r="M156" s="363" t="str">
        <x:f>IF($A156="","",L156*'Pricing Rules'!$B$6)</x:f>
      </x:c>
      <x:c r="N156" s="363" t="str">
        <x:f>IF($A156="","",L156+M156)</x:f>
      </x:c>
      <x:c r="O156" s="363"/>
      <x:c r="P156" s="362"/>
      <x:c r="Q156" s="362"/>
      <x:c r="R156" s="362"/>
      <x:c r="S156" s="365"/>
      <x:c r="T156" s="365"/>
      <x:c r="U156" s="362"/>
      <x:c r="V156" s="362"/>
      <x:c r="W156" s="365"/>
      <x:c r="X156" s="366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361"/>
      <x:c r="B157" s="362"/>
      <x:c r="C157" s="362"/>
      <x:c r="D157" s="362"/>
      <x:c r="E157" s="362"/>
      <x:c r="F157" s="362"/>
      <x:c r="G157" s="362"/>
      <x:c r="H157" s="363"/>
      <x:c r="I157" s="363" t="str">
        <x:f>IF($A157="","",'Pricing Rules'!$B$5)</x:f>
      </x:c>
      <x:c r="J157" s="363"/>
      <x:c r="K157" s="363"/>
      <x:c r="L157" s="363" t="str">
        <x:f>IF($A157="","",SUM(H157:K157))</x:f>
      </x:c>
      <x:c r="M157" s="363" t="str">
        <x:f>IF($A157="","",L157*'Pricing Rules'!$B$6)</x:f>
      </x:c>
      <x:c r="N157" s="363" t="str">
        <x:f>IF($A157="","",L157+M157)</x:f>
      </x:c>
      <x:c r="O157" s="363"/>
      <x:c r="P157" s="362"/>
      <x:c r="Q157" s="362"/>
      <x:c r="R157" s="362"/>
      <x:c r="S157" s="365"/>
      <x:c r="T157" s="365"/>
      <x:c r="U157" s="362"/>
      <x:c r="V157" s="362"/>
      <x:c r="W157" s="365"/>
      <x:c r="X157" s="366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361"/>
      <x:c r="B158" s="362"/>
      <x:c r="C158" s="362"/>
      <x:c r="D158" s="362"/>
      <x:c r="E158" s="362"/>
      <x:c r="F158" s="362"/>
      <x:c r="G158" s="362"/>
      <x:c r="H158" s="363"/>
      <x:c r="I158" s="363" t="str">
        <x:f>IF($A158="","",'Pricing Rules'!$B$5)</x:f>
      </x:c>
      <x:c r="J158" s="363"/>
      <x:c r="K158" s="363"/>
      <x:c r="L158" s="363" t="str">
        <x:f>IF($A158="","",SUM(H158:K158))</x:f>
      </x:c>
      <x:c r="M158" s="363" t="str">
        <x:f>IF($A158="","",L158*'Pricing Rules'!$B$6)</x:f>
      </x:c>
      <x:c r="N158" s="363" t="str">
        <x:f>IF($A158="","",L158+M158)</x:f>
      </x:c>
      <x:c r="O158" s="363"/>
      <x:c r="P158" s="362"/>
      <x:c r="Q158" s="362"/>
      <x:c r="R158" s="362"/>
      <x:c r="S158" s="365"/>
      <x:c r="T158" s="365"/>
      <x:c r="U158" s="362"/>
      <x:c r="V158" s="362"/>
      <x:c r="W158" s="365"/>
      <x:c r="X158" s="366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361"/>
      <x:c r="B159" s="362"/>
      <x:c r="C159" s="362"/>
      <x:c r="D159" s="362"/>
      <x:c r="E159" s="362"/>
      <x:c r="F159" s="362"/>
      <x:c r="G159" s="362"/>
      <x:c r="H159" s="363"/>
      <x:c r="I159" s="363" t="str">
        <x:f>IF($A159="","",'Pricing Rules'!$B$5)</x:f>
      </x:c>
      <x:c r="J159" s="363"/>
      <x:c r="K159" s="363"/>
      <x:c r="L159" s="363" t="str">
        <x:f>IF($A159="","",SUM(H159:K159))</x:f>
      </x:c>
      <x:c r="M159" s="363" t="str">
        <x:f>IF($A159="","",L159*'Pricing Rules'!$B$6)</x:f>
      </x:c>
      <x:c r="N159" s="363" t="str">
        <x:f>IF($A159="","",L159+M159)</x:f>
      </x:c>
      <x:c r="O159" s="363"/>
      <x:c r="P159" s="362"/>
      <x:c r="Q159" s="362"/>
      <x:c r="R159" s="362"/>
      <x:c r="S159" s="365"/>
      <x:c r="T159" s="365"/>
      <x:c r="U159" s="362"/>
      <x:c r="V159" s="362"/>
      <x:c r="W159" s="365"/>
      <x:c r="X159" s="366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361"/>
      <x:c r="B160" s="362"/>
      <x:c r="C160" s="362"/>
      <x:c r="D160" s="362"/>
      <x:c r="E160" s="362"/>
      <x:c r="F160" s="362"/>
      <x:c r="G160" s="362"/>
      <x:c r="H160" s="363"/>
      <x:c r="I160" s="363" t="str">
        <x:f>IF($A160="","",'Pricing Rules'!$B$5)</x:f>
      </x:c>
      <x:c r="J160" s="363"/>
      <x:c r="K160" s="363"/>
      <x:c r="L160" s="363" t="str">
        <x:f>IF($A160="","",SUM(H160:K160))</x:f>
      </x:c>
      <x:c r="M160" s="363" t="str">
        <x:f>IF($A160="","",L160*'Pricing Rules'!$B$6)</x:f>
      </x:c>
      <x:c r="N160" s="363" t="str">
        <x:f>IF($A160="","",L160+M160)</x:f>
      </x:c>
      <x:c r="O160" s="363"/>
      <x:c r="P160" s="362"/>
      <x:c r="Q160" s="362"/>
      <x:c r="R160" s="362"/>
      <x:c r="S160" s="365"/>
      <x:c r="T160" s="365"/>
      <x:c r="U160" s="362"/>
      <x:c r="V160" s="362"/>
      <x:c r="W160" s="365"/>
      <x:c r="X160" s="366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361"/>
      <x:c r="B161" s="362"/>
      <x:c r="C161" s="362"/>
      <x:c r="D161" s="362"/>
      <x:c r="E161" s="362"/>
      <x:c r="F161" s="362"/>
      <x:c r="G161" s="362"/>
      <x:c r="H161" s="363"/>
      <x:c r="I161" s="363" t="str">
        <x:f>IF($A161="","",'Pricing Rules'!$B$5)</x:f>
      </x:c>
      <x:c r="J161" s="363"/>
      <x:c r="K161" s="363"/>
      <x:c r="L161" s="363" t="str">
        <x:f>IF($A161="","",SUM(H161:K161))</x:f>
      </x:c>
      <x:c r="M161" s="363" t="str">
        <x:f>IF($A161="","",L161*'Pricing Rules'!$B$6)</x:f>
      </x:c>
      <x:c r="N161" s="363" t="str">
        <x:f>IF($A161="","",L161+M161)</x:f>
      </x:c>
      <x:c r="O161" s="363"/>
      <x:c r="P161" s="362"/>
      <x:c r="Q161" s="362"/>
      <x:c r="R161" s="362"/>
      <x:c r="S161" s="365"/>
      <x:c r="T161" s="365"/>
      <x:c r="U161" s="362"/>
      <x:c r="V161" s="362"/>
      <x:c r="W161" s="365"/>
      <x:c r="X161" s="366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361"/>
      <x:c r="B162" s="362"/>
      <x:c r="C162" s="362"/>
      <x:c r="D162" s="362"/>
      <x:c r="E162" s="362"/>
      <x:c r="F162" s="362"/>
      <x:c r="G162" s="362"/>
      <x:c r="H162" s="363"/>
      <x:c r="I162" s="363" t="str">
        <x:f>IF($A162="","",'Pricing Rules'!$B$5)</x:f>
      </x:c>
      <x:c r="J162" s="363"/>
      <x:c r="K162" s="363"/>
      <x:c r="L162" s="363" t="str">
        <x:f>IF($A162="","",SUM(H162:K162))</x:f>
      </x:c>
      <x:c r="M162" s="363" t="str">
        <x:f>IF($A162="","",L162*'Pricing Rules'!$B$6)</x:f>
      </x:c>
      <x:c r="N162" s="363" t="str">
        <x:f>IF($A162="","",L162+M162)</x:f>
      </x:c>
      <x:c r="O162" s="363"/>
      <x:c r="P162" s="362"/>
      <x:c r="Q162" s="362"/>
      <x:c r="R162" s="362"/>
      <x:c r="S162" s="365"/>
      <x:c r="T162" s="365"/>
      <x:c r="U162" s="362"/>
      <x:c r="V162" s="362"/>
      <x:c r="W162" s="365"/>
      <x:c r="X162" s="366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361"/>
      <x:c r="B163" s="362"/>
      <x:c r="C163" s="362"/>
      <x:c r="D163" s="362"/>
      <x:c r="E163" s="362"/>
      <x:c r="F163" s="362"/>
      <x:c r="G163" s="362"/>
      <x:c r="H163" s="363"/>
      <x:c r="I163" s="363" t="str">
        <x:f>IF($A163="","",'Pricing Rules'!$B$5)</x:f>
      </x:c>
      <x:c r="J163" s="363"/>
      <x:c r="K163" s="363"/>
      <x:c r="L163" s="363" t="str">
        <x:f>IF($A163="","",SUM(H163:K163))</x:f>
      </x:c>
      <x:c r="M163" s="363" t="str">
        <x:f>IF($A163="","",L163*'Pricing Rules'!$B$6)</x:f>
      </x:c>
      <x:c r="N163" s="363" t="str">
        <x:f>IF($A163="","",L163+M163)</x:f>
      </x:c>
      <x:c r="O163" s="363"/>
      <x:c r="P163" s="362"/>
      <x:c r="Q163" s="362"/>
      <x:c r="R163" s="362"/>
      <x:c r="S163" s="365"/>
      <x:c r="T163" s="365"/>
      <x:c r="U163" s="362"/>
      <x:c r="V163" s="362"/>
      <x:c r="W163" s="365"/>
      <x:c r="X163" s="366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361"/>
      <x:c r="B164" s="362"/>
      <x:c r="C164" s="362"/>
      <x:c r="D164" s="362"/>
      <x:c r="E164" s="362"/>
      <x:c r="F164" s="362"/>
      <x:c r="G164" s="362"/>
      <x:c r="H164" s="363"/>
      <x:c r="I164" s="363" t="str">
        <x:f>IF($A164="","",'Pricing Rules'!$B$5)</x:f>
      </x:c>
      <x:c r="J164" s="363"/>
      <x:c r="K164" s="363"/>
      <x:c r="L164" s="363" t="str">
        <x:f>IF($A164="","",SUM(H164:K164))</x:f>
      </x:c>
      <x:c r="M164" s="363" t="str">
        <x:f>IF($A164="","",L164*'Pricing Rules'!$B$6)</x:f>
      </x:c>
      <x:c r="N164" s="363" t="str">
        <x:f>IF($A164="","",L164+M164)</x:f>
      </x:c>
      <x:c r="O164" s="363"/>
      <x:c r="P164" s="362"/>
      <x:c r="Q164" s="362"/>
      <x:c r="R164" s="362"/>
      <x:c r="S164" s="365"/>
      <x:c r="T164" s="365"/>
      <x:c r="U164" s="362"/>
      <x:c r="V164" s="362"/>
      <x:c r="W164" s="365"/>
      <x:c r="X164" s="366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361"/>
      <x:c r="B165" s="362"/>
      <x:c r="C165" s="362"/>
      <x:c r="D165" s="362"/>
      <x:c r="E165" s="362"/>
      <x:c r="F165" s="362"/>
      <x:c r="G165" s="362"/>
      <x:c r="H165" s="363"/>
      <x:c r="I165" s="363" t="str">
        <x:f>IF($A165="","",'Pricing Rules'!$B$5)</x:f>
      </x:c>
      <x:c r="J165" s="363"/>
      <x:c r="K165" s="363"/>
      <x:c r="L165" s="363" t="str">
        <x:f>IF($A165="","",SUM(H165:K165))</x:f>
      </x:c>
      <x:c r="M165" s="363" t="str">
        <x:f>IF($A165="","",L165*'Pricing Rules'!$B$6)</x:f>
      </x:c>
      <x:c r="N165" s="363" t="str">
        <x:f>IF($A165="","",L165+M165)</x:f>
      </x:c>
      <x:c r="O165" s="363"/>
      <x:c r="P165" s="362"/>
      <x:c r="Q165" s="362"/>
      <x:c r="R165" s="362"/>
      <x:c r="S165" s="365"/>
      <x:c r="T165" s="365"/>
      <x:c r="U165" s="362"/>
      <x:c r="V165" s="362"/>
      <x:c r="W165" s="365"/>
      <x:c r="X165" s="366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361"/>
      <x:c r="B166" s="362"/>
      <x:c r="C166" s="362"/>
      <x:c r="D166" s="362"/>
      <x:c r="E166" s="362"/>
      <x:c r="F166" s="362"/>
      <x:c r="G166" s="362"/>
      <x:c r="H166" s="363"/>
      <x:c r="I166" s="363" t="str">
        <x:f>IF($A166="","",'Pricing Rules'!$B$5)</x:f>
      </x:c>
      <x:c r="J166" s="363"/>
      <x:c r="K166" s="363"/>
      <x:c r="L166" s="363" t="str">
        <x:f>IF($A166="","",SUM(H166:K166))</x:f>
      </x:c>
      <x:c r="M166" s="363" t="str">
        <x:f>IF($A166="","",L166*'Pricing Rules'!$B$6)</x:f>
      </x:c>
      <x:c r="N166" s="363" t="str">
        <x:f>IF($A166="","",L166+M166)</x:f>
      </x:c>
      <x:c r="O166" s="363"/>
      <x:c r="P166" s="362"/>
      <x:c r="Q166" s="362"/>
      <x:c r="R166" s="362"/>
      <x:c r="S166" s="365"/>
      <x:c r="T166" s="365"/>
      <x:c r="U166" s="362"/>
      <x:c r="V166" s="362"/>
      <x:c r="W166" s="365"/>
      <x:c r="X166" s="366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361"/>
      <x:c r="B167" s="362"/>
      <x:c r="C167" s="362"/>
      <x:c r="D167" s="362"/>
      <x:c r="E167" s="362"/>
      <x:c r="F167" s="362"/>
      <x:c r="G167" s="362"/>
      <x:c r="H167" s="363"/>
      <x:c r="I167" s="363" t="str">
        <x:f>IF($A167="","",'Pricing Rules'!$B$5)</x:f>
      </x:c>
      <x:c r="J167" s="363"/>
      <x:c r="K167" s="363"/>
      <x:c r="L167" s="363" t="str">
        <x:f>IF($A167="","",SUM(H167:K167))</x:f>
      </x:c>
      <x:c r="M167" s="363" t="str">
        <x:f>IF($A167="","",L167*'Pricing Rules'!$B$6)</x:f>
      </x:c>
      <x:c r="N167" s="363" t="str">
        <x:f>IF($A167="","",L167+M167)</x:f>
      </x:c>
      <x:c r="O167" s="363"/>
      <x:c r="P167" s="362"/>
      <x:c r="Q167" s="362"/>
      <x:c r="R167" s="362"/>
      <x:c r="S167" s="365"/>
      <x:c r="T167" s="365"/>
      <x:c r="U167" s="362"/>
      <x:c r="V167" s="362"/>
      <x:c r="W167" s="365"/>
      <x:c r="X167" s="366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361"/>
      <x:c r="B168" s="362"/>
      <x:c r="C168" s="362"/>
      <x:c r="D168" s="362"/>
      <x:c r="E168" s="362"/>
      <x:c r="F168" s="362"/>
      <x:c r="G168" s="362"/>
      <x:c r="H168" s="363"/>
      <x:c r="I168" s="363" t="str">
        <x:f>IF($A168="","",'Pricing Rules'!$B$5)</x:f>
      </x:c>
      <x:c r="J168" s="363"/>
      <x:c r="K168" s="363"/>
      <x:c r="L168" s="363" t="str">
        <x:f>IF($A168="","",SUM(H168:K168))</x:f>
      </x:c>
      <x:c r="M168" s="363" t="str">
        <x:f>IF($A168="","",L168*'Pricing Rules'!$B$6)</x:f>
      </x:c>
      <x:c r="N168" s="363" t="str">
        <x:f>IF($A168="","",L168+M168)</x:f>
      </x:c>
      <x:c r="O168" s="363"/>
      <x:c r="P168" s="362"/>
      <x:c r="Q168" s="362"/>
      <x:c r="R168" s="362"/>
      <x:c r="S168" s="365"/>
      <x:c r="T168" s="365"/>
      <x:c r="U168" s="362"/>
      <x:c r="V168" s="362"/>
      <x:c r="W168" s="365"/>
      <x:c r="X168" s="366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361"/>
      <x:c r="B169" s="362"/>
      <x:c r="C169" s="362"/>
      <x:c r="D169" s="362"/>
      <x:c r="E169" s="362"/>
      <x:c r="F169" s="362"/>
      <x:c r="G169" s="362"/>
      <x:c r="H169" s="363"/>
      <x:c r="I169" s="363" t="str">
        <x:f>IF($A169="","",'Pricing Rules'!$B$5)</x:f>
      </x:c>
      <x:c r="J169" s="363"/>
      <x:c r="K169" s="363"/>
      <x:c r="L169" s="363" t="str">
        <x:f>IF($A169="","",SUM(H169:K169))</x:f>
      </x:c>
      <x:c r="M169" s="363" t="str">
        <x:f>IF($A169="","",L169*'Pricing Rules'!$B$6)</x:f>
      </x:c>
      <x:c r="N169" s="363" t="str">
        <x:f>IF($A169="","",L169+M169)</x:f>
      </x:c>
      <x:c r="O169" s="363"/>
      <x:c r="P169" s="362"/>
      <x:c r="Q169" s="362"/>
      <x:c r="R169" s="362"/>
      <x:c r="S169" s="365"/>
      <x:c r="T169" s="365"/>
      <x:c r="U169" s="362"/>
      <x:c r="V169" s="362"/>
      <x:c r="W169" s="365"/>
      <x:c r="X169" s="366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361"/>
      <x:c r="B170" s="362"/>
      <x:c r="C170" s="362"/>
      <x:c r="D170" s="362"/>
      <x:c r="E170" s="362"/>
      <x:c r="F170" s="362"/>
      <x:c r="G170" s="362"/>
      <x:c r="H170" s="363"/>
      <x:c r="I170" s="363" t="str">
        <x:f>IF($A170="","",'Pricing Rules'!$B$5)</x:f>
      </x:c>
      <x:c r="J170" s="363"/>
      <x:c r="K170" s="363"/>
      <x:c r="L170" s="363" t="str">
        <x:f>IF($A170="","",SUM(H170:K170))</x:f>
      </x:c>
      <x:c r="M170" s="363" t="str">
        <x:f>IF($A170="","",L170*'Pricing Rules'!$B$6)</x:f>
      </x:c>
      <x:c r="N170" s="363" t="str">
        <x:f>IF($A170="","",L170+M170)</x:f>
      </x:c>
      <x:c r="O170" s="363"/>
      <x:c r="P170" s="362"/>
      <x:c r="Q170" s="362"/>
      <x:c r="R170" s="362"/>
      <x:c r="S170" s="365"/>
      <x:c r="T170" s="365"/>
      <x:c r="U170" s="362"/>
      <x:c r="V170" s="362"/>
      <x:c r="W170" s="365"/>
      <x:c r="X170" s="366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361"/>
      <x:c r="B171" s="362"/>
      <x:c r="C171" s="362"/>
      <x:c r="D171" s="362"/>
      <x:c r="E171" s="362"/>
      <x:c r="F171" s="362"/>
      <x:c r="G171" s="362"/>
      <x:c r="H171" s="363"/>
      <x:c r="I171" s="363" t="str">
        <x:f>IF($A171="","",'Pricing Rules'!$B$5)</x:f>
      </x:c>
      <x:c r="J171" s="363"/>
      <x:c r="K171" s="363"/>
      <x:c r="L171" s="363" t="str">
        <x:f>IF($A171="","",SUM(H171:K171))</x:f>
      </x:c>
      <x:c r="M171" s="363" t="str">
        <x:f>IF($A171="","",L171*'Pricing Rules'!$B$6)</x:f>
      </x:c>
      <x:c r="N171" s="363" t="str">
        <x:f>IF($A171="","",L171+M171)</x:f>
      </x:c>
      <x:c r="O171" s="363"/>
      <x:c r="P171" s="362"/>
      <x:c r="Q171" s="362"/>
      <x:c r="R171" s="362"/>
      <x:c r="S171" s="365"/>
      <x:c r="T171" s="365"/>
      <x:c r="U171" s="362"/>
      <x:c r="V171" s="362"/>
      <x:c r="W171" s="365"/>
      <x:c r="X171" s="366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361"/>
      <x:c r="B172" s="362"/>
      <x:c r="C172" s="362"/>
      <x:c r="D172" s="362"/>
      <x:c r="E172" s="362"/>
      <x:c r="F172" s="362"/>
      <x:c r="G172" s="362"/>
      <x:c r="H172" s="363"/>
      <x:c r="I172" s="363" t="str">
        <x:f>IF($A172="","",'Pricing Rules'!$B$5)</x:f>
      </x:c>
      <x:c r="J172" s="363"/>
      <x:c r="K172" s="363"/>
      <x:c r="L172" s="363" t="str">
        <x:f>IF($A172="","",SUM(H172:K172))</x:f>
      </x:c>
      <x:c r="M172" s="363" t="str">
        <x:f>IF($A172="","",L172*'Pricing Rules'!$B$6)</x:f>
      </x:c>
      <x:c r="N172" s="363" t="str">
        <x:f>IF($A172="","",L172+M172)</x:f>
      </x:c>
      <x:c r="O172" s="363"/>
      <x:c r="P172" s="362"/>
      <x:c r="Q172" s="362"/>
      <x:c r="R172" s="362"/>
      <x:c r="S172" s="365"/>
      <x:c r="T172" s="365"/>
      <x:c r="U172" s="362"/>
      <x:c r="V172" s="362"/>
      <x:c r="W172" s="365"/>
      <x:c r="X172" s="366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361"/>
      <x:c r="B173" s="362"/>
      <x:c r="C173" s="362"/>
      <x:c r="D173" s="362"/>
      <x:c r="E173" s="362"/>
      <x:c r="F173" s="362"/>
      <x:c r="G173" s="362"/>
      <x:c r="H173" s="363"/>
      <x:c r="I173" s="363" t="str">
        <x:f>IF($A173="","",'Pricing Rules'!$B$5)</x:f>
      </x:c>
      <x:c r="J173" s="363"/>
      <x:c r="K173" s="363"/>
      <x:c r="L173" s="363" t="str">
        <x:f>IF($A173="","",SUM(H173:K173))</x:f>
      </x:c>
      <x:c r="M173" s="363" t="str">
        <x:f>IF($A173="","",L173*'Pricing Rules'!$B$6)</x:f>
      </x:c>
      <x:c r="N173" s="363" t="str">
        <x:f>IF($A173="","",L173+M173)</x:f>
      </x:c>
      <x:c r="O173" s="363"/>
      <x:c r="P173" s="362"/>
      <x:c r="Q173" s="362"/>
      <x:c r="R173" s="362"/>
      <x:c r="S173" s="365"/>
      <x:c r="T173" s="365"/>
      <x:c r="U173" s="362"/>
      <x:c r="V173" s="362"/>
      <x:c r="W173" s="365"/>
      <x:c r="X173" s="366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361"/>
      <x:c r="B174" s="362"/>
      <x:c r="C174" s="362"/>
      <x:c r="D174" s="362"/>
      <x:c r="E174" s="362"/>
      <x:c r="F174" s="362"/>
      <x:c r="G174" s="362"/>
      <x:c r="H174" s="363"/>
      <x:c r="I174" s="363" t="str">
        <x:f>IF($A174="","",'Pricing Rules'!$B$5)</x:f>
      </x:c>
      <x:c r="J174" s="363"/>
      <x:c r="K174" s="363"/>
      <x:c r="L174" s="363" t="str">
        <x:f>IF($A174="","",SUM(H174:K174))</x:f>
      </x:c>
      <x:c r="M174" s="363" t="str">
        <x:f>IF($A174="","",L174*'Pricing Rules'!$B$6)</x:f>
      </x:c>
      <x:c r="N174" s="363" t="str">
        <x:f>IF($A174="","",L174+M174)</x:f>
      </x:c>
      <x:c r="O174" s="363"/>
      <x:c r="P174" s="362"/>
      <x:c r="Q174" s="362"/>
      <x:c r="R174" s="362"/>
      <x:c r="S174" s="365"/>
      <x:c r="T174" s="365"/>
      <x:c r="U174" s="362"/>
      <x:c r="V174" s="362"/>
      <x:c r="W174" s="365"/>
      <x:c r="X174" s="366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361"/>
      <x:c r="B175" s="362"/>
      <x:c r="C175" s="362"/>
      <x:c r="D175" s="362"/>
      <x:c r="E175" s="362"/>
      <x:c r="F175" s="362"/>
      <x:c r="G175" s="362"/>
      <x:c r="H175" s="363"/>
      <x:c r="I175" s="363" t="str">
        <x:f>IF($A175="","",'Pricing Rules'!$B$5)</x:f>
      </x:c>
      <x:c r="J175" s="363"/>
      <x:c r="K175" s="363"/>
      <x:c r="L175" s="363" t="str">
        <x:f>IF($A175="","",SUM(H175:K175))</x:f>
      </x:c>
      <x:c r="M175" s="363" t="str">
        <x:f>IF($A175="","",L175*'Pricing Rules'!$B$6)</x:f>
      </x:c>
      <x:c r="N175" s="363" t="str">
        <x:f>IF($A175="","",L175+M175)</x:f>
      </x:c>
      <x:c r="O175" s="363"/>
      <x:c r="P175" s="362"/>
      <x:c r="Q175" s="362"/>
      <x:c r="R175" s="362"/>
      <x:c r="S175" s="365"/>
      <x:c r="T175" s="365"/>
      <x:c r="U175" s="362"/>
      <x:c r="V175" s="362"/>
      <x:c r="W175" s="365"/>
      <x:c r="X175" s="366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361"/>
      <x:c r="B176" s="362"/>
      <x:c r="C176" s="362"/>
      <x:c r="D176" s="362"/>
      <x:c r="E176" s="362"/>
      <x:c r="F176" s="362"/>
      <x:c r="G176" s="362"/>
      <x:c r="H176" s="363"/>
      <x:c r="I176" s="363" t="str">
        <x:f>IF($A176="","",'Pricing Rules'!$B$5)</x:f>
      </x:c>
      <x:c r="J176" s="363"/>
      <x:c r="K176" s="363"/>
      <x:c r="L176" s="363" t="str">
        <x:f>IF($A176="","",SUM(H176:K176))</x:f>
      </x:c>
      <x:c r="M176" s="363" t="str">
        <x:f>IF($A176="","",L176*'Pricing Rules'!$B$6)</x:f>
      </x:c>
      <x:c r="N176" s="363" t="str">
        <x:f>IF($A176="","",L176+M176)</x:f>
      </x:c>
      <x:c r="O176" s="363"/>
      <x:c r="P176" s="362"/>
      <x:c r="Q176" s="362"/>
      <x:c r="R176" s="362"/>
      <x:c r="S176" s="365"/>
      <x:c r="T176" s="365"/>
      <x:c r="U176" s="362"/>
      <x:c r="V176" s="362"/>
      <x:c r="W176" s="365"/>
      <x:c r="X176" s="366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361"/>
      <x:c r="B177" s="362"/>
      <x:c r="C177" s="362"/>
      <x:c r="D177" s="362"/>
      <x:c r="E177" s="362"/>
      <x:c r="F177" s="362"/>
      <x:c r="G177" s="362"/>
      <x:c r="H177" s="363"/>
      <x:c r="I177" s="363" t="str">
        <x:f>IF($A177="","",'Pricing Rules'!$B$5)</x:f>
      </x:c>
      <x:c r="J177" s="363"/>
      <x:c r="K177" s="363"/>
      <x:c r="L177" s="363" t="str">
        <x:f>IF($A177="","",SUM(H177:K177))</x:f>
      </x:c>
      <x:c r="M177" s="363" t="str">
        <x:f>IF($A177="","",L177*'Pricing Rules'!$B$6)</x:f>
      </x:c>
      <x:c r="N177" s="363" t="str">
        <x:f>IF($A177="","",L177+M177)</x:f>
      </x:c>
      <x:c r="O177" s="363"/>
      <x:c r="P177" s="362"/>
      <x:c r="Q177" s="362"/>
      <x:c r="R177" s="362"/>
      <x:c r="S177" s="365"/>
      <x:c r="T177" s="365"/>
      <x:c r="U177" s="362"/>
      <x:c r="V177" s="362"/>
      <x:c r="W177" s="365"/>
      <x:c r="X177" s="366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361"/>
      <x:c r="B178" s="362"/>
      <x:c r="C178" s="362"/>
      <x:c r="D178" s="362"/>
      <x:c r="E178" s="362"/>
      <x:c r="F178" s="362"/>
      <x:c r="G178" s="362"/>
      <x:c r="H178" s="363"/>
      <x:c r="I178" s="363" t="str">
        <x:f>IF($A178="","",'Pricing Rules'!$B$5)</x:f>
      </x:c>
      <x:c r="J178" s="363"/>
      <x:c r="K178" s="363"/>
      <x:c r="L178" s="363" t="str">
        <x:f>IF($A178="","",SUM(H178:K178))</x:f>
      </x:c>
      <x:c r="M178" s="363" t="str">
        <x:f>IF($A178="","",L178*'Pricing Rules'!$B$6)</x:f>
      </x:c>
      <x:c r="N178" s="363" t="str">
        <x:f>IF($A178="","",L178+M178)</x:f>
      </x:c>
      <x:c r="O178" s="363"/>
      <x:c r="P178" s="362"/>
      <x:c r="Q178" s="362"/>
      <x:c r="R178" s="362"/>
      <x:c r="S178" s="365"/>
      <x:c r="T178" s="365"/>
      <x:c r="U178" s="362"/>
      <x:c r="V178" s="362"/>
      <x:c r="W178" s="365"/>
      <x:c r="X178" s="366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361"/>
      <x:c r="B179" s="362"/>
      <x:c r="C179" s="362"/>
      <x:c r="D179" s="362"/>
      <x:c r="E179" s="362"/>
      <x:c r="F179" s="362"/>
      <x:c r="G179" s="362"/>
      <x:c r="H179" s="363"/>
      <x:c r="I179" s="363" t="str">
        <x:f>IF($A179="","",'Pricing Rules'!$B$5)</x:f>
      </x:c>
      <x:c r="J179" s="363"/>
      <x:c r="K179" s="363"/>
      <x:c r="L179" s="363" t="str">
        <x:f>IF($A179="","",SUM(H179:K179))</x:f>
      </x:c>
      <x:c r="M179" s="363" t="str">
        <x:f>IF($A179="","",L179*'Pricing Rules'!$B$6)</x:f>
      </x:c>
      <x:c r="N179" s="363" t="str">
        <x:f>IF($A179="","",L179+M179)</x:f>
      </x:c>
      <x:c r="O179" s="363"/>
      <x:c r="P179" s="362"/>
      <x:c r="Q179" s="362"/>
      <x:c r="R179" s="362"/>
      <x:c r="S179" s="365"/>
      <x:c r="T179" s="365"/>
      <x:c r="U179" s="362"/>
      <x:c r="V179" s="362"/>
      <x:c r="W179" s="365"/>
      <x:c r="X179" s="366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361"/>
      <x:c r="B180" s="362"/>
      <x:c r="C180" s="362"/>
      <x:c r="D180" s="362"/>
      <x:c r="E180" s="362"/>
      <x:c r="F180" s="362"/>
      <x:c r="G180" s="362"/>
      <x:c r="H180" s="363"/>
      <x:c r="I180" s="363" t="str">
        <x:f>IF($A180="","",'Pricing Rules'!$B$5)</x:f>
      </x:c>
      <x:c r="J180" s="363"/>
      <x:c r="K180" s="363"/>
      <x:c r="L180" s="363" t="str">
        <x:f>IF($A180="","",SUM(H180:K180))</x:f>
      </x:c>
      <x:c r="M180" s="363" t="str">
        <x:f>IF($A180="","",L180*'Pricing Rules'!$B$6)</x:f>
      </x:c>
      <x:c r="N180" s="363" t="str">
        <x:f>IF($A180="","",L180+M180)</x:f>
      </x:c>
      <x:c r="O180" s="363"/>
      <x:c r="P180" s="362"/>
      <x:c r="Q180" s="362"/>
      <x:c r="R180" s="362"/>
      <x:c r="S180" s="365"/>
      <x:c r="T180" s="365"/>
      <x:c r="U180" s="362"/>
      <x:c r="V180" s="362"/>
      <x:c r="W180" s="365"/>
      <x:c r="X180" s="366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361"/>
      <x:c r="B181" s="362"/>
      <x:c r="C181" s="362"/>
      <x:c r="D181" s="362"/>
      <x:c r="E181" s="362"/>
      <x:c r="F181" s="362"/>
      <x:c r="G181" s="362"/>
      <x:c r="H181" s="363"/>
      <x:c r="I181" s="363" t="str">
        <x:f>IF($A181="","",'Pricing Rules'!$B$5)</x:f>
      </x:c>
      <x:c r="J181" s="363"/>
      <x:c r="K181" s="363"/>
      <x:c r="L181" s="363" t="str">
        <x:f>IF($A181="","",SUM(H181:K181))</x:f>
      </x:c>
      <x:c r="M181" s="363" t="str">
        <x:f>IF($A181="","",L181*'Pricing Rules'!$B$6)</x:f>
      </x:c>
      <x:c r="N181" s="363" t="str">
        <x:f>IF($A181="","",L181+M181)</x:f>
      </x:c>
      <x:c r="O181" s="363"/>
      <x:c r="P181" s="362"/>
      <x:c r="Q181" s="362"/>
      <x:c r="R181" s="362"/>
      <x:c r="S181" s="365"/>
      <x:c r="T181" s="365"/>
      <x:c r="U181" s="362"/>
      <x:c r="V181" s="362"/>
      <x:c r="W181" s="365"/>
      <x:c r="X181" s="366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361"/>
      <x:c r="B182" s="362"/>
      <x:c r="C182" s="362"/>
      <x:c r="D182" s="362"/>
      <x:c r="E182" s="362"/>
      <x:c r="F182" s="362"/>
      <x:c r="G182" s="362"/>
      <x:c r="H182" s="363"/>
      <x:c r="I182" s="363" t="str">
        <x:f>IF($A182="","",'Pricing Rules'!$B$5)</x:f>
      </x:c>
      <x:c r="J182" s="363"/>
      <x:c r="K182" s="363"/>
      <x:c r="L182" s="363" t="str">
        <x:f>IF($A182="","",SUM(H182:K182))</x:f>
      </x:c>
      <x:c r="M182" s="363" t="str">
        <x:f>IF($A182="","",L182*'Pricing Rules'!$B$6)</x:f>
      </x:c>
      <x:c r="N182" s="363" t="str">
        <x:f>IF($A182="","",L182+M182)</x:f>
      </x:c>
      <x:c r="O182" s="363"/>
      <x:c r="P182" s="362"/>
      <x:c r="Q182" s="362"/>
      <x:c r="R182" s="362"/>
      <x:c r="S182" s="365"/>
      <x:c r="T182" s="365"/>
      <x:c r="U182" s="362"/>
      <x:c r="V182" s="362"/>
      <x:c r="W182" s="365"/>
      <x:c r="X182" s="366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361"/>
      <x:c r="B183" s="362"/>
      <x:c r="C183" s="362"/>
      <x:c r="D183" s="362"/>
      <x:c r="E183" s="362"/>
      <x:c r="F183" s="362"/>
      <x:c r="G183" s="362"/>
      <x:c r="H183" s="363"/>
      <x:c r="I183" s="363" t="str">
        <x:f>IF($A183="","",'Pricing Rules'!$B$5)</x:f>
      </x:c>
      <x:c r="J183" s="363"/>
      <x:c r="K183" s="363"/>
      <x:c r="L183" s="363" t="str">
        <x:f>IF($A183="","",SUM(H183:K183))</x:f>
      </x:c>
      <x:c r="M183" s="363" t="str">
        <x:f>IF($A183="","",L183*'Pricing Rules'!$B$6)</x:f>
      </x:c>
      <x:c r="N183" s="363" t="str">
        <x:f>IF($A183="","",L183+M183)</x:f>
      </x:c>
      <x:c r="O183" s="363"/>
      <x:c r="P183" s="362"/>
      <x:c r="Q183" s="362"/>
      <x:c r="R183" s="362"/>
      <x:c r="S183" s="365"/>
      <x:c r="T183" s="365"/>
      <x:c r="U183" s="362"/>
      <x:c r="V183" s="362"/>
      <x:c r="W183" s="365"/>
      <x:c r="X183" s="366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361"/>
      <x:c r="B184" s="362"/>
      <x:c r="C184" s="362"/>
      <x:c r="D184" s="362"/>
      <x:c r="E184" s="362"/>
      <x:c r="F184" s="362"/>
      <x:c r="G184" s="362"/>
      <x:c r="H184" s="363"/>
      <x:c r="I184" s="363" t="str">
        <x:f>IF($A184="","",'Pricing Rules'!$B$5)</x:f>
      </x:c>
      <x:c r="J184" s="363"/>
      <x:c r="K184" s="363"/>
      <x:c r="L184" s="363" t="str">
        <x:f>IF($A184="","",SUM(H184:K184))</x:f>
      </x:c>
      <x:c r="M184" s="363" t="str">
        <x:f>IF($A184="","",L184*'Pricing Rules'!$B$6)</x:f>
      </x:c>
      <x:c r="N184" s="363" t="str">
        <x:f>IF($A184="","",L184+M184)</x:f>
      </x:c>
      <x:c r="O184" s="363"/>
      <x:c r="P184" s="362"/>
      <x:c r="Q184" s="362"/>
      <x:c r="R184" s="362"/>
      <x:c r="S184" s="365"/>
      <x:c r="T184" s="365"/>
      <x:c r="U184" s="362"/>
      <x:c r="V184" s="362"/>
      <x:c r="W184" s="365"/>
      <x:c r="X184" s="366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361"/>
      <x:c r="B185" s="362"/>
      <x:c r="C185" s="362"/>
      <x:c r="D185" s="362"/>
      <x:c r="E185" s="362"/>
      <x:c r="F185" s="362"/>
      <x:c r="G185" s="362"/>
      <x:c r="H185" s="363"/>
      <x:c r="I185" s="363" t="str">
        <x:f>IF($A185="","",'Pricing Rules'!$B$5)</x:f>
      </x:c>
      <x:c r="J185" s="363"/>
      <x:c r="K185" s="363"/>
      <x:c r="L185" s="363" t="str">
        <x:f>IF($A185="","",SUM(H185:K185))</x:f>
      </x:c>
      <x:c r="M185" s="363" t="str">
        <x:f>IF($A185="","",L185*'Pricing Rules'!$B$6)</x:f>
      </x:c>
      <x:c r="N185" s="363" t="str">
        <x:f>IF($A185="","",L185+M185)</x:f>
      </x:c>
      <x:c r="O185" s="363"/>
      <x:c r="P185" s="362"/>
      <x:c r="Q185" s="362"/>
      <x:c r="R185" s="362"/>
      <x:c r="S185" s="365"/>
      <x:c r="T185" s="365"/>
      <x:c r="U185" s="362"/>
      <x:c r="V185" s="362"/>
      <x:c r="W185" s="365"/>
      <x:c r="X185" s="366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361"/>
      <x:c r="B186" s="362"/>
      <x:c r="C186" s="362"/>
      <x:c r="D186" s="362"/>
      <x:c r="E186" s="362"/>
      <x:c r="F186" s="362"/>
      <x:c r="G186" s="362"/>
      <x:c r="H186" s="363"/>
      <x:c r="I186" s="363" t="str">
        <x:f>IF($A186="","",'Pricing Rules'!$B$5)</x:f>
      </x:c>
      <x:c r="J186" s="363"/>
      <x:c r="K186" s="363"/>
      <x:c r="L186" s="363" t="str">
        <x:f>IF($A186="","",SUM(H186:K186))</x:f>
      </x:c>
      <x:c r="M186" s="363" t="str">
        <x:f>IF($A186="","",L186*'Pricing Rules'!$B$6)</x:f>
      </x:c>
      <x:c r="N186" s="363" t="str">
        <x:f>IF($A186="","",L186+M186)</x:f>
      </x:c>
      <x:c r="O186" s="363"/>
      <x:c r="P186" s="362"/>
      <x:c r="Q186" s="362"/>
      <x:c r="R186" s="362"/>
      <x:c r="S186" s="365"/>
      <x:c r="T186" s="365"/>
      <x:c r="U186" s="362"/>
      <x:c r="V186" s="362"/>
      <x:c r="W186" s="365"/>
      <x:c r="X186" s="366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361"/>
      <x:c r="B187" s="362"/>
      <x:c r="C187" s="362"/>
      <x:c r="D187" s="362"/>
      <x:c r="E187" s="362"/>
      <x:c r="F187" s="362"/>
      <x:c r="G187" s="362"/>
      <x:c r="H187" s="363"/>
      <x:c r="I187" s="363" t="str">
        <x:f>IF($A187="","",'Pricing Rules'!$B$5)</x:f>
      </x:c>
      <x:c r="J187" s="363"/>
      <x:c r="K187" s="363"/>
      <x:c r="L187" s="363" t="str">
        <x:f>IF($A187="","",SUM(H187:K187))</x:f>
      </x:c>
      <x:c r="M187" s="363" t="str">
        <x:f>IF($A187="","",L187*'Pricing Rules'!$B$6)</x:f>
      </x:c>
      <x:c r="N187" s="363" t="str">
        <x:f>IF($A187="","",L187+M187)</x:f>
      </x:c>
      <x:c r="O187" s="363"/>
      <x:c r="P187" s="362"/>
      <x:c r="Q187" s="362"/>
      <x:c r="R187" s="362"/>
      <x:c r="S187" s="365"/>
      <x:c r="T187" s="365"/>
      <x:c r="U187" s="362"/>
      <x:c r="V187" s="362"/>
      <x:c r="W187" s="365"/>
      <x:c r="X187" s="366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361"/>
      <x:c r="B188" s="362"/>
      <x:c r="C188" s="362"/>
      <x:c r="D188" s="362"/>
      <x:c r="E188" s="362"/>
      <x:c r="F188" s="362"/>
      <x:c r="G188" s="362"/>
      <x:c r="H188" s="363"/>
      <x:c r="I188" s="363" t="str">
        <x:f>IF($A188="","",'Pricing Rules'!$B$5)</x:f>
      </x:c>
      <x:c r="J188" s="363"/>
      <x:c r="K188" s="363"/>
      <x:c r="L188" s="363" t="str">
        <x:f>IF($A188="","",SUM(H188:K188))</x:f>
      </x:c>
      <x:c r="M188" s="363" t="str">
        <x:f>IF($A188="","",L188*'Pricing Rules'!$B$6)</x:f>
      </x:c>
      <x:c r="N188" s="363" t="str">
        <x:f>IF($A188="","",L188+M188)</x:f>
      </x:c>
      <x:c r="O188" s="363"/>
      <x:c r="P188" s="362"/>
      <x:c r="Q188" s="362"/>
      <x:c r="R188" s="362"/>
      <x:c r="S188" s="365"/>
      <x:c r="T188" s="365"/>
      <x:c r="U188" s="362"/>
      <x:c r="V188" s="362"/>
      <x:c r="W188" s="365"/>
      <x:c r="X188" s="366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361"/>
      <x:c r="B189" s="362"/>
      <x:c r="C189" s="362"/>
      <x:c r="D189" s="362"/>
      <x:c r="E189" s="362"/>
      <x:c r="F189" s="362"/>
      <x:c r="G189" s="362"/>
      <x:c r="H189" s="363"/>
      <x:c r="I189" s="363" t="str">
        <x:f>IF($A189="","",'Pricing Rules'!$B$5)</x:f>
      </x:c>
      <x:c r="J189" s="363"/>
      <x:c r="K189" s="363"/>
      <x:c r="L189" s="363" t="str">
        <x:f>IF($A189="","",SUM(H189:K189))</x:f>
      </x:c>
      <x:c r="M189" s="363" t="str">
        <x:f>IF($A189="","",L189*'Pricing Rules'!$B$6)</x:f>
      </x:c>
      <x:c r="N189" s="363" t="str">
        <x:f>IF($A189="","",L189+M189)</x:f>
      </x:c>
      <x:c r="O189" s="363"/>
      <x:c r="P189" s="362"/>
      <x:c r="Q189" s="362"/>
      <x:c r="R189" s="362"/>
      <x:c r="S189" s="365"/>
      <x:c r="T189" s="365"/>
      <x:c r="U189" s="362"/>
      <x:c r="V189" s="362"/>
      <x:c r="W189" s="365"/>
      <x:c r="X189" s="366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361"/>
      <x:c r="B190" s="362"/>
      <x:c r="C190" s="362"/>
      <x:c r="D190" s="362"/>
      <x:c r="E190" s="362"/>
      <x:c r="F190" s="362"/>
      <x:c r="G190" s="362"/>
      <x:c r="H190" s="363"/>
      <x:c r="I190" s="363" t="str">
        <x:f>IF($A190="","",'Pricing Rules'!$B$5)</x:f>
      </x:c>
      <x:c r="J190" s="363"/>
      <x:c r="K190" s="363"/>
      <x:c r="L190" s="363" t="str">
        <x:f>IF($A190="","",SUM(H190:K190))</x:f>
      </x:c>
      <x:c r="M190" s="363" t="str">
        <x:f>IF($A190="","",L190*'Pricing Rules'!$B$6)</x:f>
      </x:c>
      <x:c r="N190" s="363" t="str">
        <x:f>IF($A190="","",L190+M190)</x:f>
      </x:c>
      <x:c r="O190" s="363"/>
      <x:c r="P190" s="362"/>
      <x:c r="Q190" s="362"/>
      <x:c r="R190" s="362"/>
      <x:c r="S190" s="365"/>
      <x:c r="T190" s="365"/>
      <x:c r="U190" s="362"/>
      <x:c r="V190" s="362"/>
      <x:c r="W190" s="365"/>
      <x:c r="X190" s="366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361"/>
      <x:c r="B191" s="362"/>
      <x:c r="C191" s="362"/>
      <x:c r="D191" s="362"/>
      <x:c r="E191" s="362"/>
      <x:c r="F191" s="362"/>
      <x:c r="G191" s="362"/>
      <x:c r="H191" s="363"/>
      <x:c r="I191" s="363" t="str">
        <x:f>IF($A191="","",'Pricing Rules'!$B$5)</x:f>
      </x:c>
      <x:c r="J191" s="363"/>
      <x:c r="K191" s="363"/>
      <x:c r="L191" s="363" t="str">
        <x:f>IF($A191="","",SUM(H191:K191))</x:f>
      </x:c>
      <x:c r="M191" s="363" t="str">
        <x:f>IF($A191="","",L191*'Pricing Rules'!$B$6)</x:f>
      </x:c>
      <x:c r="N191" s="363" t="str">
        <x:f>IF($A191="","",L191+M191)</x:f>
      </x:c>
      <x:c r="O191" s="363"/>
      <x:c r="P191" s="362"/>
      <x:c r="Q191" s="362"/>
      <x:c r="R191" s="362"/>
      <x:c r="S191" s="365"/>
      <x:c r="T191" s="365"/>
      <x:c r="U191" s="362"/>
      <x:c r="V191" s="362"/>
      <x:c r="W191" s="365"/>
      <x:c r="X191" s="366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361"/>
      <x:c r="B192" s="362"/>
      <x:c r="C192" s="362"/>
      <x:c r="D192" s="362"/>
      <x:c r="E192" s="362"/>
      <x:c r="F192" s="362"/>
      <x:c r="G192" s="362"/>
      <x:c r="H192" s="363"/>
      <x:c r="I192" s="363" t="str">
        <x:f>IF($A192="","",'Pricing Rules'!$B$5)</x:f>
      </x:c>
      <x:c r="J192" s="363"/>
      <x:c r="K192" s="363"/>
      <x:c r="L192" s="363" t="str">
        <x:f>IF($A192="","",SUM(H192:K192))</x:f>
      </x:c>
      <x:c r="M192" s="363" t="str">
        <x:f>IF($A192="","",L192*'Pricing Rules'!$B$6)</x:f>
      </x:c>
      <x:c r="N192" s="363" t="str">
        <x:f>IF($A192="","",L192+M192)</x:f>
      </x:c>
      <x:c r="O192" s="363"/>
      <x:c r="P192" s="362"/>
      <x:c r="Q192" s="362"/>
      <x:c r="R192" s="362"/>
      <x:c r="S192" s="365"/>
      <x:c r="T192" s="365"/>
      <x:c r="U192" s="362"/>
      <x:c r="V192" s="362"/>
      <x:c r="W192" s="365"/>
      <x:c r="X192" s="366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361"/>
      <x:c r="B193" s="362"/>
      <x:c r="C193" s="362"/>
      <x:c r="D193" s="362"/>
      <x:c r="E193" s="362"/>
      <x:c r="F193" s="362"/>
      <x:c r="G193" s="362"/>
      <x:c r="H193" s="363"/>
      <x:c r="I193" s="363" t="str">
        <x:f>IF($A193="","",'Pricing Rules'!$B$5)</x:f>
      </x:c>
      <x:c r="J193" s="363"/>
      <x:c r="K193" s="363"/>
      <x:c r="L193" s="363" t="str">
        <x:f>IF($A193="","",SUM(H193:K193))</x:f>
      </x:c>
      <x:c r="M193" s="363" t="str">
        <x:f>IF($A193="","",L193*'Pricing Rules'!$B$6)</x:f>
      </x:c>
      <x:c r="N193" s="363" t="str">
        <x:f>IF($A193="","",L193+M193)</x:f>
      </x:c>
      <x:c r="O193" s="363"/>
      <x:c r="P193" s="362"/>
      <x:c r="Q193" s="362"/>
      <x:c r="R193" s="362"/>
      <x:c r="S193" s="365"/>
      <x:c r="T193" s="365"/>
      <x:c r="U193" s="362"/>
      <x:c r="V193" s="362"/>
      <x:c r="W193" s="365"/>
      <x:c r="X193" s="366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361"/>
      <x:c r="B194" s="362"/>
      <x:c r="C194" s="362"/>
      <x:c r="D194" s="362"/>
      <x:c r="E194" s="362"/>
      <x:c r="F194" s="362"/>
      <x:c r="G194" s="362"/>
      <x:c r="H194" s="363"/>
      <x:c r="I194" s="363" t="str">
        <x:f>IF($A194="","",'Pricing Rules'!$B$5)</x:f>
      </x:c>
      <x:c r="J194" s="363"/>
      <x:c r="K194" s="363"/>
      <x:c r="L194" s="363" t="str">
        <x:f>IF($A194="","",SUM(H194:K194))</x:f>
      </x:c>
      <x:c r="M194" s="363" t="str">
        <x:f>IF($A194="","",L194*'Pricing Rules'!$B$6)</x:f>
      </x:c>
      <x:c r="N194" s="363" t="str">
        <x:f>IF($A194="","",L194+M194)</x:f>
      </x:c>
      <x:c r="O194" s="363"/>
      <x:c r="P194" s="362"/>
      <x:c r="Q194" s="362"/>
      <x:c r="R194" s="362"/>
      <x:c r="S194" s="365"/>
      <x:c r="T194" s="365"/>
      <x:c r="U194" s="362"/>
      <x:c r="V194" s="362"/>
      <x:c r="W194" s="365"/>
      <x:c r="X194" s="366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361"/>
      <x:c r="B195" s="362"/>
      <x:c r="C195" s="362"/>
      <x:c r="D195" s="362"/>
      <x:c r="E195" s="362"/>
      <x:c r="F195" s="362"/>
      <x:c r="G195" s="362"/>
      <x:c r="H195" s="363"/>
      <x:c r="I195" s="363" t="str">
        <x:f>IF($A195="","",'Pricing Rules'!$B$5)</x:f>
      </x:c>
      <x:c r="J195" s="363"/>
      <x:c r="K195" s="363"/>
      <x:c r="L195" s="363" t="str">
        <x:f>IF($A195="","",SUM(H195:K195))</x:f>
      </x:c>
      <x:c r="M195" s="363" t="str">
        <x:f>IF($A195="","",L195*'Pricing Rules'!$B$6)</x:f>
      </x:c>
      <x:c r="N195" s="363" t="str">
        <x:f>IF($A195="","",L195+M195)</x:f>
      </x:c>
      <x:c r="O195" s="363"/>
      <x:c r="P195" s="362"/>
      <x:c r="Q195" s="362"/>
      <x:c r="R195" s="362"/>
      <x:c r="S195" s="365"/>
      <x:c r="T195" s="365"/>
      <x:c r="U195" s="362"/>
      <x:c r="V195" s="362"/>
      <x:c r="W195" s="365"/>
      <x:c r="X195" s="366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361"/>
      <x:c r="B196" s="362"/>
      <x:c r="C196" s="362"/>
      <x:c r="D196" s="362"/>
      <x:c r="E196" s="362"/>
      <x:c r="F196" s="362"/>
      <x:c r="G196" s="362"/>
      <x:c r="H196" s="363"/>
      <x:c r="I196" s="363" t="str">
        <x:f>IF($A196="","",'Pricing Rules'!$B$5)</x:f>
      </x:c>
      <x:c r="J196" s="363"/>
      <x:c r="K196" s="363"/>
      <x:c r="L196" s="363" t="str">
        <x:f>IF($A196="","",SUM(H196:K196))</x:f>
      </x:c>
      <x:c r="M196" s="363" t="str">
        <x:f>IF($A196="","",L196*'Pricing Rules'!$B$6)</x:f>
      </x:c>
      <x:c r="N196" s="363" t="str">
        <x:f>IF($A196="","",L196+M196)</x:f>
      </x:c>
      <x:c r="O196" s="363"/>
      <x:c r="P196" s="362"/>
      <x:c r="Q196" s="362"/>
      <x:c r="R196" s="362"/>
      <x:c r="S196" s="365"/>
      <x:c r="T196" s="365"/>
      <x:c r="U196" s="362"/>
      <x:c r="V196" s="362"/>
      <x:c r="W196" s="365"/>
      <x:c r="X196" s="366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361"/>
      <x:c r="B197" s="362"/>
      <x:c r="C197" s="362"/>
      <x:c r="D197" s="362"/>
      <x:c r="E197" s="362"/>
      <x:c r="F197" s="362"/>
      <x:c r="G197" s="362"/>
      <x:c r="H197" s="363"/>
      <x:c r="I197" s="363" t="str">
        <x:f>IF($A197="","",'Pricing Rules'!$B$5)</x:f>
      </x:c>
      <x:c r="J197" s="363"/>
      <x:c r="K197" s="363"/>
      <x:c r="L197" s="363" t="str">
        <x:f>IF($A197="","",SUM(H197:K197))</x:f>
      </x:c>
      <x:c r="M197" s="363" t="str">
        <x:f>IF($A197="","",L197*'Pricing Rules'!$B$6)</x:f>
      </x:c>
      <x:c r="N197" s="363" t="str">
        <x:f>IF($A197="","",L197+M197)</x:f>
      </x:c>
      <x:c r="O197" s="363"/>
      <x:c r="P197" s="362"/>
      <x:c r="Q197" s="362"/>
      <x:c r="R197" s="362"/>
      <x:c r="S197" s="365"/>
      <x:c r="T197" s="365"/>
      <x:c r="U197" s="362"/>
      <x:c r="V197" s="362"/>
      <x:c r="W197" s="365"/>
      <x:c r="X197" s="366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361"/>
      <x:c r="B198" s="362"/>
      <x:c r="C198" s="362"/>
      <x:c r="D198" s="362"/>
      <x:c r="E198" s="362"/>
      <x:c r="F198" s="362"/>
      <x:c r="G198" s="362"/>
      <x:c r="H198" s="363"/>
      <x:c r="I198" s="363" t="str">
        <x:f>IF($A198="","",'Pricing Rules'!$B$5)</x:f>
      </x:c>
      <x:c r="J198" s="363"/>
      <x:c r="K198" s="363"/>
      <x:c r="L198" s="363" t="str">
        <x:f>IF($A198="","",SUM(H198:K198))</x:f>
      </x:c>
      <x:c r="M198" s="363" t="str">
        <x:f>IF($A198="","",L198*'Pricing Rules'!$B$6)</x:f>
      </x:c>
      <x:c r="N198" s="363" t="str">
        <x:f>IF($A198="","",L198+M198)</x:f>
      </x:c>
      <x:c r="O198" s="363"/>
      <x:c r="P198" s="362"/>
      <x:c r="Q198" s="362"/>
      <x:c r="R198" s="362"/>
      <x:c r="S198" s="365"/>
      <x:c r="T198" s="365"/>
      <x:c r="U198" s="362"/>
      <x:c r="V198" s="362"/>
      <x:c r="W198" s="365"/>
      <x:c r="X198" s="366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361"/>
      <x:c r="B199" s="362"/>
      <x:c r="C199" s="362"/>
      <x:c r="D199" s="362"/>
      <x:c r="E199" s="362"/>
      <x:c r="F199" s="362"/>
      <x:c r="G199" s="362"/>
      <x:c r="H199" s="363"/>
      <x:c r="I199" s="363" t="str">
        <x:f>IF($A199="","",'Pricing Rules'!$B$5)</x:f>
      </x:c>
      <x:c r="J199" s="363"/>
      <x:c r="K199" s="363"/>
      <x:c r="L199" s="363" t="str">
        <x:f>IF($A199="","",SUM(H199:K199))</x:f>
      </x:c>
      <x:c r="M199" s="363" t="str">
        <x:f>IF($A199="","",L199*'Pricing Rules'!$B$6)</x:f>
      </x:c>
      <x:c r="N199" s="363" t="str">
        <x:f>IF($A199="","",L199+M199)</x:f>
      </x:c>
      <x:c r="O199" s="363"/>
      <x:c r="P199" s="362"/>
      <x:c r="Q199" s="362"/>
      <x:c r="R199" s="362"/>
      <x:c r="S199" s="365"/>
      <x:c r="T199" s="365"/>
      <x:c r="U199" s="362"/>
      <x:c r="V199" s="362"/>
      <x:c r="W199" s="365"/>
      <x:c r="X199" s="366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367"/>
      <x:c r="B200" s="368"/>
      <x:c r="C200" s="368"/>
      <x:c r="D200" s="368"/>
      <x:c r="E200" s="368"/>
      <x:c r="F200" s="368"/>
      <x:c r="G200" s="368"/>
      <x:c r="H200" s="369"/>
      <x:c r="I200" s="369" t="str">
        <x:f>IF($A200="","",'Pricing Rules'!$B$5)</x:f>
      </x:c>
      <x:c r="J200" s="369"/>
      <x:c r="K200" s="369"/>
      <x:c r="L200" s="369" t="str">
        <x:f>IF($A200="","",SUM(H200:K200))</x:f>
      </x:c>
      <x:c r="M200" s="369" t="str">
        <x:f>IF($A200="","",L200*'Pricing Rules'!$B$6)</x:f>
      </x:c>
      <x:c r="N200" s="369" t="str">
        <x:f>IF($A200="","",L200+M200)</x:f>
      </x:c>
      <x:c r="O200" s="369"/>
      <x:c r="P200" s="368"/>
      <x:c r="Q200" s="368"/>
      <x:c r="R200" s="368"/>
      <x:c r="S200" s="371"/>
      <x:c r="T200" s="371"/>
      <x:c r="U200" s="368"/>
      <x:c r="V200" s="368"/>
      <x:c r="W200" s="371"/>
      <x:c r="X200" s="372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X1"/>
    <x:mergeCell ref="A2:X2"/>
  </x:mergeCells>
  <x:dataValidations count="2">
    <x:dataValidation type="list" sqref="P5:P200">
      <x:formula1>'Status Lists'!$G$2:$G$6</x:formula1>
    </x:dataValidation>
    <x:dataValidation type="list" sqref="Q5:Q200">
      <x:formula1>'Status Lists'!$F$2:$F$10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fae64df7704f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2" hidden="0" customWidth="1"/>
    <x:col min="5" max="5" width="14" hidden="0" customWidth="1"/>
    <x:col min="6" max="6" width="16" hidden="0" customWidth="1"/>
    <x:col min="7" max="7" width="44" hidden="0" customWidth="1"/>
    <x:col min="8" max="8" width="18" hidden="0" customWidth="1"/>
  </x:cols>
  <x:sheetData>
    <x:row r="1" ht="30" customHeight="1">
      <x:c r="A1" s="412" t="str">
        <x:v>Gift Story — Inventory Movement Log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سجل حركة المنتجات: إضافة، حجز، استخدام، تلف، أرشفة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28" t="str">
        <x:v>Date</x:v>
      </x:c>
      <x:c r="B4" s="429" t="str">
        <x:v>Product ID</x:v>
      </x:c>
      <x:c r="C4" s="429" t="str">
        <x:v>Action</x:v>
      </x:c>
      <x:c r="D4" s="429" t="str">
        <x:v>Quantity</x:v>
      </x:c>
      <x:c r="E4" s="429" t="str">
        <x:v>Box ID</x:v>
      </x:c>
      <x:c r="F4" s="429" t="str">
        <x:v>Order ID</x:v>
      </x:c>
      <x:c r="G4" s="429" t="str">
        <x:v>Notes</x:v>
      </x:c>
      <x:c r="H4" s="430" t="str">
        <x:v>Recorded By</x:v>
      </x:c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  <x:c r="T4" s="281"/>
      <x:c r="U4" s="281"/>
      <x:c r="V4" s="281"/>
      <x:c r="W4" s="281"/>
      <x:c r="X4" s="281"/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396" t="n">
        <x:v>46193.712456284724</x:v>
      </x:c>
      <x:c r="B5" s="362" t="str">
        <x:v>P-0001</x:v>
      </x:c>
      <x:c r="C5" s="362" t="str">
        <x:v>Added</x:v>
      </x:c>
      <x:c r="D5" s="364" t="n">
        <x:v>1</x:v>
      </x:c>
      <x:c r="E5" s="362" t="str"/>
      <x:c r="F5" s="362" t="str"/>
      <x:c r="G5" s="362" t="str">
        <x:v>Example row — replace with actual movement.</x:v>
      </x:c>
      <x:c r="H5" s="389" t="str">
        <x:v>Gift Story</x:v>
      </x:c>
      <x:c r="I5" s="281"/>
      <x:c r="J5" s="281"/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396"/>
      <x:c r="B6" s="362"/>
      <x:c r="C6" s="362"/>
      <x:c r="D6" s="364"/>
      <x:c r="E6" s="362"/>
      <x:c r="F6" s="362"/>
      <x:c r="G6" s="362"/>
      <x:c r="H6" s="389"/>
      <x:c r="I6" s="281"/>
      <x:c r="J6" s="281"/>
      <x:c r="K6" s="281"/>
      <x:c r="L6" s="281"/>
      <x:c r="M6" s="281"/>
      <x:c r="N6" s="281"/>
      <x:c r="O6" s="281"/>
      <x:c r="P6" s="281"/>
      <x:c r="Q6" s="281"/>
      <x:c r="R6" s="281"/>
      <x:c r="S6" s="281"/>
      <x:c r="T6" s="281"/>
      <x:c r="U6" s="281"/>
      <x:c r="V6" s="281"/>
      <x:c r="W6" s="281"/>
      <x:c r="X6" s="281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396"/>
      <x:c r="B7" s="362"/>
      <x:c r="C7" s="362"/>
      <x:c r="D7" s="364"/>
      <x:c r="E7" s="362"/>
      <x:c r="F7" s="362"/>
      <x:c r="G7" s="362"/>
      <x:c r="H7" s="389"/>
      <x:c r="I7" s="281"/>
      <x:c r="J7" s="281"/>
      <x:c r="K7" s="281"/>
      <x:c r="L7" s="281"/>
      <x:c r="M7" s="281"/>
      <x:c r="N7" s="281"/>
      <x:c r="O7" s="281"/>
      <x:c r="P7" s="281"/>
      <x:c r="Q7" s="281"/>
      <x:c r="R7" s="281"/>
      <x:c r="S7" s="281"/>
      <x:c r="T7" s="281"/>
      <x:c r="U7" s="281"/>
      <x:c r="V7" s="281"/>
      <x:c r="W7" s="281"/>
      <x:c r="X7" s="281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396"/>
      <x:c r="B8" s="362"/>
      <x:c r="C8" s="362"/>
      <x:c r="D8" s="364"/>
      <x:c r="E8" s="362"/>
      <x:c r="F8" s="362"/>
      <x:c r="G8" s="362"/>
      <x:c r="H8" s="389"/>
      <x:c r="I8" s="281"/>
      <x:c r="J8" s="281"/>
      <x:c r="K8" s="281"/>
      <x:c r="L8" s="281"/>
      <x:c r="M8" s="281"/>
      <x:c r="N8" s="281"/>
      <x:c r="O8" s="281"/>
      <x:c r="P8" s="281"/>
      <x:c r="Q8" s="281"/>
      <x:c r="R8" s="281"/>
      <x:c r="S8" s="281"/>
      <x:c r="T8" s="281"/>
      <x:c r="U8" s="281"/>
      <x:c r="V8" s="281"/>
      <x:c r="W8" s="281"/>
      <x:c r="X8" s="281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396"/>
      <x:c r="B9" s="362"/>
      <x:c r="C9" s="362"/>
      <x:c r="D9" s="364"/>
      <x:c r="E9" s="362"/>
      <x:c r="F9" s="362"/>
      <x:c r="G9" s="362"/>
      <x:c r="H9" s="389"/>
      <x:c r="I9" s="281"/>
      <x:c r="J9" s="281"/>
      <x:c r="K9" s="281"/>
      <x:c r="L9" s="281"/>
      <x:c r="M9" s="281"/>
      <x:c r="N9" s="281"/>
      <x:c r="O9" s="281"/>
      <x:c r="P9" s="281"/>
      <x:c r="Q9" s="281"/>
      <x:c r="R9" s="281"/>
      <x:c r="S9" s="281"/>
      <x:c r="T9" s="281"/>
      <x:c r="U9" s="281"/>
      <x:c r="V9" s="281"/>
      <x:c r="W9" s="281"/>
      <x:c r="X9" s="281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396"/>
      <x:c r="B10" s="362"/>
      <x:c r="C10" s="362"/>
      <x:c r="D10" s="364"/>
      <x:c r="E10" s="362"/>
      <x:c r="F10" s="362"/>
      <x:c r="G10" s="362"/>
      <x:c r="H10" s="389"/>
      <x:c r="I10" s="281"/>
      <x:c r="J10" s="281"/>
      <x:c r="K10" s="281"/>
      <x:c r="L10" s="281"/>
      <x:c r="M10" s="281"/>
      <x:c r="N10" s="281"/>
      <x:c r="O10" s="281"/>
      <x:c r="P10" s="281"/>
      <x:c r="Q10" s="281"/>
      <x:c r="R10" s="281"/>
      <x:c r="S10" s="281"/>
      <x:c r="T10" s="281"/>
      <x:c r="U10" s="281"/>
      <x:c r="V10" s="281"/>
      <x:c r="W10" s="281"/>
      <x:c r="X10" s="281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396"/>
      <x:c r="B11" s="362"/>
      <x:c r="C11" s="362"/>
      <x:c r="D11" s="364"/>
      <x:c r="E11" s="362"/>
      <x:c r="F11" s="362"/>
      <x:c r="G11" s="362"/>
      <x:c r="H11" s="389"/>
      <x:c r="I11" s="281"/>
      <x:c r="J11" s="281"/>
      <x:c r="K11" s="281"/>
      <x:c r="L11" s="281"/>
      <x:c r="M11" s="281"/>
      <x:c r="N11" s="281"/>
      <x:c r="O11" s="281"/>
      <x:c r="P11" s="281"/>
      <x:c r="Q11" s="281"/>
      <x:c r="R11" s="281"/>
      <x:c r="S11" s="281"/>
      <x:c r="T11" s="281"/>
      <x:c r="U11" s="281"/>
      <x:c r="V11" s="281"/>
      <x:c r="W11" s="281"/>
      <x:c r="X11" s="281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396"/>
      <x:c r="B12" s="362"/>
      <x:c r="C12" s="362"/>
      <x:c r="D12" s="364"/>
      <x:c r="E12" s="362"/>
      <x:c r="F12" s="362"/>
      <x:c r="G12" s="362"/>
      <x:c r="H12" s="389"/>
      <x:c r="I12" s="281"/>
      <x:c r="J12" s="281"/>
      <x:c r="K12" s="281"/>
      <x:c r="L12" s="281"/>
      <x:c r="M12" s="281"/>
      <x:c r="N12" s="281"/>
      <x:c r="O12" s="281"/>
      <x:c r="P12" s="281"/>
      <x:c r="Q12" s="281"/>
      <x:c r="R12" s="281"/>
      <x:c r="S12" s="281"/>
      <x:c r="T12" s="281"/>
      <x:c r="U12" s="281"/>
      <x:c r="V12" s="281"/>
      <x:c r="W12" s="281"/>
      <x:c r="X12" s="281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396"/>
      <x:c r="B13" s="362"/>
      <x:c r="C13" s="362"/>
      <x:c r="D13" s="364"/>
      <x:c r="E13" s="362"/>
      <x:c r="F13" s="362"/>
      <x:c r="G13" s="362"/>
      <x:c r="H13" s="389"/>
      <x:c r="I13" s="281"/>
      <x:c r="J13" s="281"/>
      <x:c r="K13" s="281"/>
      <x:c r="L13" s="281"/>
      <x:c r="M13" s="281"/>
      <x:c r="N13" s="281"/>
      <x:c r="O13" s="281"/>
      <x:c r="P13" s="281"/>
      <x:c r="Q13" s="281"/>
      <x:c r="R13" s="281"/>
      <x:c r="S13" s="281"/>
      <x:c r="T13" s="281"/>
      <x:c r="U13" s="281"/>
      <x:c r="V13" s="281"/>
      <x:c r="W13" s="281"/>
      <x:c r="X13" s="281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396"/>
      <x:c r="B14" s="362"/>
      <x:c r="C14" s="362"/>
      <x:c r="D14" s="364"/>
      <x:c r="E14" s="362"/>
      <x:c r="F14" s="362"/>
      <x:c r="G14" s="362"/>
      <x:c r="H14" s="389"/>
      <x:c r="I14" s="281"/>
      <x:c r="J14" s="281"/>
      <x:c r="K14" s="281"/>
      <x:c r="L14" s="281"/>
      <x:c r="M14" s="281"/>
      <x:c r="N14" s="281"/>
      <x:c r="O14" s="281"/>
      <x:c r="P14" s="281"/>
      <x:c r="Q14" s="281"/>
      <x:c r="R14" s="281"/>
      <x:c r="S14" s="281"/>
      <x:c r="T14" s="281"/>
      <x:c r="U14" s="281"/>
      <x:c r="V14" s="281"/>
      <x:c r="W14" s="281"/>
      <x:c r="X14" s="281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>
      <x:c r="A15" s="396"/>
      <x:c r="B15" s="362"/>
      <x:c r="C15" s="362"/>
      <x:c r="D15" s="364"/>
      <x:c r="E15" s="362"/>
      <x:c r="F15" s="362"/>
      <x:c r="G15" s="362"/>
      <x:c r="H15" s="389"/>
      <x:c r="I15" s="281"/>
      <x:c r="J15" s="281"/>
      <x:c r="K15" s="281"/>
      <x:c r="L15" s="281"/>
      <x:c r="M15" s="281"/>
      <x:c r="N15" s="281"/>
      <x:c r="O15" s="281"/>
      <x:c r="P15" s="281"/>
      <x:c r="Q15" s="281"/>
      <x:c r="R15" s="281"/>
      <x:c r="S15" s="281"/>
      <x:c r="T15" s="281"/>
      <x:c r="U15" s="281"/>
      <x:c r="V15" s="281"/>
      <x:c r="W15" s="281"/>
      <x:c r="X15" s="281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396"/>
      <x:c r="B16" s="362"/>
      <x:c r="C16" s="362"/>
      <x:c r="D16" s="364"/>
      <x:c r="E16" s="362"/>
      <x:c r="F16" s="362"/>
      <x:c r="G16" s="362"/>
      <x:c r="H16" s="389"/>
      <x:c r="I16" s="281"/>
      <x:c r="J16" s="281"/>
      <x:c r="K16" s="281"/>
      <x:c r="L16" s="281"/>
      <x:c r="M16" s="281"/>
      <x:c r="N16" s="281"/>
      <x:c r="O16" s="281"/>
      <x:c r="P16" s="281"/>
      <x:c r="Q16" s="281"/>
      <x:c r="R16" s="281"/>
      <x:c r="S16" s="281"/>
      <x:c r="T16" s="281"/>
      <x:c r="U16" s="281"/>
      <x:c r="V16" s="281"/>
      <x:c r="W16" s="281"/>
      <x:c r="X16" s="281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396"/>
      <x:c r="B17" s="362"/>
      <x:c r="C17" s="362"/>
      <x:c r="D17" s="364"/>
      <x:c r="E17" s="362"/>
      <x:c r="F17" s="362"/>
      <x:c r="G17" s="362"/>
      <x:c r="H17" s="389"/>
      <x:c r="I17" s="281"/>
      <x:c r="J17" s="281"/>
      <x:c r="K17" s="281"/>
      <x:c r="L17" s="281"/>
      <x:c r="M17" s="281"/>
      <x:c r="N17" s="281"/>
      <x:c r="O17" s="281"/>
      <x:c r="P17" s="281"/>
      <x:c r="Q17" s="281"/>
      <x:c r="R17" s="281"/>
      <x:c r="S17" s="281"/>
      <x:c r="T17" s="281"/>
      <x:c r="U17" s="281"/>
      <x:c r="V17" s="281"/>
      <x:c r="W17" s="281"/>
      <x:c r="X17" s="281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396"/>
      <x:c r="B18" s="362"/>
      <x:c r="C18" s="362"/>
      <x:c r="D18" s="364"/>
      <x:c r="E18" s="362"/>
      <x:c r="F18" s="362"/>
      <x:c r="G18" s="362"/>
      <x:c r="H18" s="389"/>
      <x:c r="I18" s="281"/>
      <x:c r="J18" s="281"/>
      <x:c r="K18" s="281"/>
      <x:c r="L18" s="281"/>
      <x:c r="M18" s="281"/>
      <x:c r="N18" s="281"/>
      <x:c r="O18" s="281"/>
      <x:c r="P18" s="281"/>
      <x:c r="Q18" s="281"/>
      <x:c r="R18" s="281"/>
      <x:c r="S18" s="281"/>
      <x:c r="T18" s="281"/>
      <x:c r="U18" s="281"/>
      <x:c r="V18" s="281"/>
      <x:c r="W18" s="281"/>
      <x:c r="X18" s="281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396"/>
      <x:c r="B19" s="362"/>
      <x:c r="C19" s="362"/>
      <x:c r="D19" s="364"/>
      <x:c r="E19" s="362"/>
      <x:c r="F19" s="362"/>
      <x:c r="G19" s="362"/>
      <x:c r="H19" s="389"/>
      <x:c r="I19" s="281"/>
      <x:c r="J19" s="281"/>
      <x:c r="K19" s="281"/>
      <x:c r="L19" s="281"/>
      <x:c r="M19" s="281"/>
      <x:c r="N19" s="281"/>
      <x:c r="O19" s="281"/>
      <x:c r="P19" s="281"/>
      <x:c r="Q19" s="281"/>
      <x:c r="R19" s="281"/>
      <x:c r="S19" s="281"/>
      <x:c r="T19" s="281"/>
      <x:c r="U19" s="281"/>
      <x:c r="V19" s="281"/>
      <x:c r="W19" s="281"/>
      <x:c r="X19" s="281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396"/>
      <x:c r="B20" s="362"/>
      <x:c r="C20" s="362"/>
      <x:c r="D20" s="364"/>
      <x:c r="E20" s="362"/>
      <x:c r="F20" s="362"/>
      <x:c r="G20" s="362"/>
      <x:c r="H20" s="389"/>
      <x:c r="I20" s="281"/>
      <x:c r="J20" s="281"/>
      <x:c r="K20" s="281"/>
      <x:c r="L20" s="281"/>
      <x:c r="M20" s="281"/>
      <x:c r="N20" s="281"/>
      <x:c r="O20" s="281"/>
      <x:c r="P20" s="281"/>
      <x:c r="Q20" s="281"/>
      <x:c r="R20" s="281"/>
      <x:c r="S20" s="281"/>
      <x:c r="T20" s="281"/>
      <x:c r="U20" s="281"/>
      <x:c r="V20" s="281"/>
      <x:c r="W20" s="281"/>
      <x:c r="X20" s="281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396"/>
      <x:c r="B21" s="362"/>
      <x:c r="C21" s="362"/>
      <x:c r="D21" s="364"/>
      <x:c r="E21" s="362"/>
      <x:c r="F21" s="362"/>
      <x:c r="G21" s="362"/>
      <x:c r="H21" s="389"/>
      <x:c r="I21" s="281"/>
      <x:c r="J21" s="281"/>
      <x:c r="K21" s="281"/>
      <x:c r="L21" s="281"/>
      <x:c r="M21" s="281"/>
      <x:c r="N21" s="281"/>
      <x:c r="O21" s="281"/>
      <x:c r="P21" s="281"/>
      <x:c r="Q21" s="281"/>
      <x:c r="R21" s="281"/>
      <x:c r="S21" s="281"/>
      <x:c r="T21" s="281"/>
      <x:c r="U21" s="281"/>
      <x:c r="V21" s="281"/>
      <x:c r="W21" s="281"/>
      <x:c r="X21" s="281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396"/>
      <x:c r="B22" s="362"/>
      <x:c r="C22" s="362"/>
      <x:c r="D22" s="364"/>
      <x:c r="E22" s="362"/>
      <x:c r="F22" s="362"/>
      <x:c r="G22" s="362"/>
      <x:c r="H22" s="389"/>
      <x:c r="I22" s="281"/>
      <x:c r="J22" s="281"/>
      <x:c r="K22" s="281"/>
      <x:c r="L22" s="281"/>
      <x:c r="M22" s="281"/>
      <x:c r="N22" s="281"/>
      <x:c r="O22" s="281"/>
      <x:c r="P22" s="281"/>
      <x:c r="Q22" s="281"/>
      <x:c r="R22" s="281"/>
      <x:c r="S22" s="281"/>
      <x:c r="T22" s="281"/>
      <x:c r="U22" s="281"/>
      <x:c r="V22" s="281"/>
      <x:c r="W22" s="281"/>
      <x:c r="X22" s="281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396"/>
      <x:c r="B23" s="362"/>
      <x:c r="C23" s="362"/>
      <x:c r="D23" s="364"/>
      <x:c r="E23" s="362"/>
      <x:c r="F23" s="362"/>
      <x:c r="G23" s="362"/>
      <x:c r="H23" s="389"/>
      <x:c r="I23" s="281"/>
      <x:c r="J23" s="281"/>
      <x:c r="K23" s="281"/>
      <x:c r="L23" s="281"/>
      <x:c r="M23" s="281"/>
      <x:c r="N23" s="281"/>
      <x:c r="O23" s="281"/>
      <x:c r="P23" s="281"/>
      <x:c r="Q23" s="281"/>
      <x:c r="R23" s="281"/>
      <x:c r="S23" s="281"/>
      <x:c r="T23" s="281"/>
      <x:c r="U23" s="281"/>
      <x:c r="V23" s="281"/>
      <x:c r="W23" s="281"/>
      <x:c r="X23" s="281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396"/>
      <x:c r="B24" s="362"/>
      <x:c r="C24" s="362"/>
      <x:c r="D24" s="364"/>
      <x:c r="E24" s="362"/>
      <x:c r="F24" s="362"/>
      <x:c r="G24" s="362"/>
      <x:c r="H24" s="389"/>
      <x:c r="I24" s="281"/>
      <x:c r="J24" s="281"/>
      <x:c r="K24" s="281"/>
      <x:c r="L24" s="281"/>
      <x:c r="M24" s="281"/>
      <x:c r="N24" s="281"/>
      <x:c r="O24" s="281"/>
      <x:c r="P24" s="281"/>
      <x:c r="Q24" s="281"/>
      <x:c r="R24" s="281"/>
      <x:c r="S24" s="281"/>
      <x:c r="T24" s="281"/>
      <x:c r="U24" s="281"/>
      <x:c r="V24" s="281"/>
      <x:c r="W24" s="281"/>
      <x:c r="X24" s="281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396"/>
      <x:c r="B25" s="362"/>
      <x:c r="C25" s="362"/>
      <x:c r="D25" s="364"/>
      <x:c r="E25" s="362"/>
      <x:c r="F25" s="362"/>
      <x:c r="G25" s="362"/>
      <x:c r="H25" s="389"/>
      <x:c r="I25" s="281"/>
      <x:c r="J25" s="281"/>
      <x:c r="K25" s="281"/>
      <x:c r="L25" s="281"/>
      <x:c r="M25" s="281"/>
      <x:c r="N25" s="281"/>
      <x:c r="O25" s="281"/>
      <x:c r="P25" s="281"/>
      <x:c r="Q25" s="281"/>
      <x:c r="R25" s="281"/>
      <x:c r="S25" s="281"/>
      <x:c r="T25" s="281"/>
      <x:c r="U25" s="281"/>
      <x:c r="V25" s="281"/>
      <x:c r="W25" s="281"/>
      <x:c r="X25" s="281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396"/>
      <x:c r="B26" s="362"/>
      <x:c r="C26" s="362"/>
      <x:c r="D26" s="364"/>
      <x:c r="E26" s="362"/>
      <x:c r="F26" s="362"/>
      <x:c r="G26" s="362"/>
      <x:c r="H26" s="389"/>
      <x:c r="I26" s="281"/>
      <x:c r="J26" s="281"/>
      <x:c r="K26" s="281"/>
      <x:c r="L26" s="281"/>
      <x:c r="M26" s="281"/>
      <x:c r="N26" s="281"/>
      <x:c r="O26" s="281"/>
      <x:c r="P26" s="281"/>
      <x:c r="Q26" s="281"/>
      <x:c r="R26" s="281"/>
      <x:c r="S26" s="281"/>
      <x:c r="T26" s="281"/>
      <x:c r="U26" s="281"/>
      <x:c r="V26" s="281"/>
      <x:c r="W26" s="281"/>
      <x:c r="X26" s="281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396"/>
      <x:c r="B27" s="362"/>
      <x:c r="C27" s="362"/>
      <x:c r="D27" s="364"/>
      <x:c r="E27" s="362"/>
      <x:c r="F27" s="362"/>
      <x:c r="G27" s="362"/>
      <x:c r="H27" s="389"/>
      <x:c r="I27" s="281"/>
      <x:c r="J27" s="281"/>
      <x:c r="K27" s="281"/>
      <x:c r="L27" s="281"/>
      <x:c r="M27" s="281"/>
      <x:c r="N27" s="281"/>
      <x:c r="O27" s="281"/>
      <x:c r="P27" s="281"/>
      <x:c r="Q27" s="281"/>
      <x:c r="R27" s="281"/>
      <x:c r="S27" s="281"/>
      <x:c r="T27" s="281"/>
      <x:c r="U27" s="281"/>
      <x:c r="V27" s="281"/>
      <x:c r="W27" s="281"/>
      <x:c r="X27" s="281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396"/>
      <x:c r="B28" s="362"/>
      <x:c r="C28" s="362"/>
      <x:c r="D28" s="364"/>
      <x:c r="E28" s="362"/>
      <x:c r="F28" s="362"/>
      <x:c r="G28" s="362"/>
      <x:c r="H28" s="389"/>
      <x:c r="I28" s="281"/>
      <x:c r="J28" s="281"/>
      <x:c r="K28" s="281"/>
      <x:c r="L28" s="281"/>
      <x:c r="M28" s="281"/>
      <x:c r="N28" s="281"/>
      <x:c r="O28" s="281"/>
      <x:c r="P28" s="281"/>
      <x:c r="Q28" s="281"/>
      <x:c r="R28" s="281"/>
      <x:c r="S28" s="281"/>
      <x:c r="T28" s="281"/>
      <x:c r="U28" s="281"/>
      <x:c r="V28" s="281"/>
      <x:c r="W28" s="281"/>
      <x:c r="X28" s="281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396"/>
      <x:c r="B29" s="362"/>
      <x:c r="C29" s="362"/>
      <x:c r="D29" s="364"/>
      <x:c r="E29" s="362"/>
      <x:c r="F29" s="362"/>
      <x:c r="G29" s="362"/>
      <x:c r="H29" s="389"/>
      <x:c r="I29" s="281"/>
      <x:c r="J29" s="281"/>
      <x:c r="K29" s="281"/>
      <x:c r="L29" s="281"/>
      <x:c r="M29" s="281"/>
      <x:c r="N29" s="281"/>
      <x:c r="O29" s="281"/>
      <x:c r="P29" s="281"/>
      <x:c r="Q29" s="281"/>
      <x:c r="R29" s="281"/>
      <x:c r="S29" s="281"/>
      <x:c r="T29" s="281"/>
      <x:c r="U29" s="281"/>
      <x:c r="V29" s="281"/>
      <x:c r="W29" s="281"/>
      <x:c r="X29" s="281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396"/>
      <x:c r="B30" s="362"/>
      <x:c r="C30" s="362"/>
      <x:c r="D30" s="364"/>
      <x:c r="E30" s="362"/>
      <x:c r="F30" s="362"/>
      <x:c r="G30" s="362"/>
      <x:c r="H30" s="389"/>
      <x:c r="I30" s="281"/>
      <x:c r="J30" s="281"/>
      <x:c r="K30" s="281"/>
      <x:c r="L30" s="281"/>
      <x:c r="M30" s="281"/>
      <x:c r="N30" s="281"/>
      <x:c r="O30" s="281"/>
      <x:c r="P30" s="281"/>
      <x:c r="Q30" s="281"/>
      <x:c r="R30" s="281"/>
      <x:c r="S30" s="281"/>
      <x:c r="T30" s="281"/>
      <x:c r="U30" s="281"/>
      <x:c r="V30" s="281"/>
      <x:c r="W30" s="281"/>
      <x:c r="X30" s="281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396"/>
      <x:c r="B31" s="362"/>
      <x:c r="C31" s="362"/>
      <x:c r="D31" s="364"/>
      <x:c r="E31" s="362"/>
      <x:c r="F31" s="362"/>
      <x:c r="G31" s="362"/>
      <x:c r="H31" s="389"/>
      <x:c r="I31" s="281"/>
      <x:c r="J31" s="281"/>
      <x:c r="K31" s="281"/>
      <x:c r="L31" s="281"/>
      <x:c r="M31" s="281"/>
      <x:c r="N31" s="281"/>
      <x:c r="O31" s="281"/>
      <x:c r="P31" s="281"/>
      <x:c r="Q31" s="281"/>
      <x:c r="R31" s="281"/>
      <x:c r="S31" s="281"/>
      <x:c r="T31" s="281"/>
      <x:c r="U31" s="281"/>
      <x:c r="V31" s="281"/>
      <x:c r="W31" s="281"/>
      <x:c r="X31" s="281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396"/>
      <x:c r="B32" s="362"/>
      <x:c r="C32" s="362"/>
      <x:c r="D32" s="364"/>
      <x:c r="E32" s="362"/>
      <x:c r="F32" s="362"/>
      <x:c r="G32" s="362"/>
      <x:c r="H32" s="389"/>
      <x:c r="I32" s="281"/>
      <x:c r="J32" s="281"/>
      <x:c r="K32" s="281"/>
      <x:c r="L32" s="281"/>
      <x:c r="M32" s="281"/>
      <x:c r="N32" s="281"/>
      <x:c r="O32" s="281"/>
      <x:c r="P32" s="281"/>
      <x:c r="Q32" s="281"/>
      <x:c r="R32" s="281"/>
      <x:c r="S32" s="281"/>
      <x:c r="T32" s="281"/>
      <x:c r="U32" s="281"/>
      <x:c r="V32" s="281"/>
      <x:c r="W32" s="281"/>
      <x:c r="X32" s="281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396"/>
      <x:c r="B33" s="362"/>
      <x:c r="C33" s="362"/>
      <x:c r="D33" s="364"/>
      <x:c r="E33" s="362"/>
      <x:c r="F33" s="362"/>
      <x:c r="G33" s="362"/>
      <x:c r="H33" s="389"/>
      <x:c r="I33" s="281"/>
      <x:c r="J33" s="281"/>
      <x:c r="K33" s="281"/>
      <x:c r="L33" s="281"/>
      <x:c r="M33" s="281"/>
      <x:c r="N33" s="281"/>
      <x:c r="O33" s="281"/>
      <x:c r="P33" s="281"/>
      <x:c r="Q33" s="281"/>
      <x:c r="R33" s="281"/>
      <x:c r="S33" s="281"/>
      <x:c r="T33" s="281"/>
      <x:c r="U33" s="281"/>
      <x:c r="V33" s="281"/>
      <x:c r="W33" s="281"/>
      <x:c r="X33" s="281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396"/>
      <x:c r="B34" s="362"/>
      <x:c r="C34" s="362"/>
      <x:c r="D34" s="364"/>
      <x:c r="E34" s="362"/>
      <x:c r="F34" s="362"/>
      <x:c r="G34" s="362"/>
      <x:c r="H34" s="389"/>
      <x:c r="I34" s="281"/>
      <x:c r="J34" s="281"/>
      <x:c r="K34" s="281"/>
      <x:c r="L34" s="281"/>
      <x:c r="M34" s="281"/>
      <x:c r="N34" s="281"/>
      <x:c r="O34" s="281"/>
      <x:c r="P34" s="281"/>
      <x:c r="Q34" s="281"/>
      <x:c r="R34" s="281"/>
      <x:c r="S34" s="281"/>
      <x:c r="T34" s="281"/>
      <x:c r="U34" s="281"/>
      <x:c r="V34" s="281"/>
      <x:c r="W34" s="281"/>
      <x:c r="X34" s="281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396"/>
      <x:c r="B35" s="362"/>
      <x:c r="C35" s="362"/>
      <x:c r="D35" s="364"/>
      <x:c r="E35" s="362"/>
      <x:c r="F35" s="362"/>
      <x:c r="G35" s="362"/>
      <x:c r="H35" s="389"/>
      <x:c r="I35" s="281"/>
      <x:c r="J35" s="281"/>
      <x:c r="K35" s="281"/>
      <x:c r="L35" s="281"/>
      <x:c r="M35" s="281"/>
      <x:c r="N35" s="281"/>
      <x:c r="O35" s="281"/>
      <x:c r="P35" s="281"/>
      <x:c r="Q35" s="281"/>
      <x:c r="R35" s="281"/>
      <x:c r="S35" s="281"/>
      <x:c r="T35" s="281"/>
      <x:c r="U35" s="281"/>
      <x:c r="V35" s="281"/>
      <x:c r="W35" s="281"/>
      <x:c r="X35" s="281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396"/>
      <x:c r="B36" s="362"/>
      <x:c r="C36" s="362"/>
      <x:c r="D36" s="364"/>
      <x:c r="E36" s="362"/>
      <x:c r="F36" s="362"/>
      <x:c r="G36" s="362"/>
      <x:c r="H36" s="389"/>
      <x:c r="I36" s="281"/>
      <x:c r="J36" s="281"/>
      <x:c r="K36" s="281"/>
      <x:c r="L36" s="281"/>
      <x:c r="M36" s="281"/>
      <x:c r="N36" s="281"/>
      <x:c r="O36" s="281"/>
      <x:c r="P36" s="281"/>
      <x:c r="Q36" s="281"/>
      <x:c r="R36" s="281"/>
      <x:c r="S36" s="281"/>
      <x:c r="T36" s="281"/>
      <x:c r="U36" s="281"/>
      <x:c r="V36" s="281"/>
      <x:c r="W36" s="281"/>
      <x:c r="X36" s="281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396"/>
      <x:c r="B37" s="362"/>
      <x:c r="C37" s="362"/>
      <x:c r="D37" s="364"/>
      <x:c r="E37" s="362"/>
      <x:c r="F37" s="362"/>
      <x:c r="G37" s="362"/>
      <x:c r="H37" s="389"/>
      <x:c r="I37" s="281"/>
      <x:c r="J37" s="281"/>
      <x:c r="K37" s="281"/>
      <x:c r="L37" s="281"/>
      <x:c r="M37" s="281"/>
      <x:c r="N37" s="281"/>
      <x:c r="O37" s="281"/>
      <x:c r="P37" s="281"/>
      <x:c r="Q37" s="281"/>
      <x:c r="R37" s="281"/>
      <x:c r="S37" s="281"/>
      <x:c r="T37" s="281"/>
      <x:c r="U37" s="281"/>
      <x:c r="V37" s="281"/>
      <x:c r="W37" s="281"/>
      <x:c r="X37" s="281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396"/>
      <x:c r="B38" s="362"/>
      <x:c r="C38" s="362"/>
      <x:c r="D38" s="364"/>
      <x:c r="E38" s="362"/>
      <x:c r="F38" s="362"/>
      <x:c r="G38" s="362"/>
      <x:c r="H38" s="389"/>
      <x:c r="I38" s="281"/>
      <x:c r="J38" s="281"/>
      <x:c r="K38" s="281"/>
      <x:c r="L38" s="281"/>
      <x:c r="M38" s="281"/>
      <x:c r="N38" s="281"/>
      <x:c r="O38" s="281"/>
      <x:c r="P38" s="281"/>
      <x:c r="Q38" s="281"/>
      <x:c r="R38" s="281"/>
      <x:c r="S38" s="281"/>
      <x:c r="T38" s="281"/>
      <x:c r="U38" s="281"/>
      <x:c r="V38" s="281"/>
      <x:c r="W38" s="281"/>
      <x:c r="X38" s="281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396"/>
      <x:c r="B39" s="362"/>
      <x:c r="C39" s="362"/>
      <x:c r="D39" s="364"/>
      <x:c r="E39" s="362"/>
      <x:c r="F39" s="362"/>
      <x:c r="G39" s="362"/>
      <x:c r="H39" s="389"/>
      <x:c r="I39" s="281"/>
      <x:c r="J39" s="281"/>
      <x:c r="K39" s="281"/>
      <x:c r="L39" s="281"/>
      <x:c r="M39" s="281"/>
      <x:c r="N39" s="281"/>
      <x:c r="O39" s="281"/>
      <x:c r="P39" s="281"/>
      <x:c r="Q39" s="281"/>
      <x:c r="R39" s="281"/>
      <x:c r="S39" s="281"/>
      <x:c r="T39" s="281"/>
      <x:c r="U39" s="281"/>
      <x:c r="V39" s="281"/>
      <x:c r="W39" s="281"/>
      <x:c r="X39" s="281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396"/>
      <x:c r="B40" s="362"/>
      <x:c r="C40" s="362"/>
      <x:c r="D40" s="364"/>
      <x:c r="E40" s="362"/>
      <x:c r="F40" s="362"/>
      <x:c r="G40" s="362"/>
      <x:c r="H40" s="389"/>
      <x:c r="I40" s="281"/>
      <x:c r="J40" s="281"/>
      <x:c r="K40" s="281"/>
      <x:c r="L40" s="281"/>
      <x:c r="M40" s="281"/>
      <x:c r="N40" s="281"/>
      <x:c r="O40" s="281"/>
      <x:c r="P40" s="281"/>
      <x:c r="Q40" s="281"/>
      <x:c r="R40" s="281"/>
      <x:c r="S40" s="281"/>
      <x:c r="T40" s="281"/>
      <x:c r="U40" s="281"/>
      <x:c r="V40" s="281"/>
      <x:c r="W40" s="281"/>
      <x:c r="X40" s="281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396"/>
      <x:c r="B41" s="362"/>
      <x:c r="C41" s="362"/>
      <x:c r="D41" s="364"/>
      <x:c r="E41" s="362"/>
      <x:c r="F41" s="362"/>
      <x:c r="G41" s="362"/>
      <x:c r="H41" s="389"/>
      <x:c r="I41" s="281"/>
      <x:c r="J41" s="281"/>
      <x:c r="K41" s="281"/>
      <x:c r="L41" s="281"/>
      <x:c r="M41" s="281"/>
      <x:c r="N41" s="281"/>
      <x:c r="O41" s="281"/>
      <x:c r="P41" s="281"/>
      <x:c r="Q41" s="281"/>
      <x:c r="R41" s="281"/>
      <x:c r="S41" s="281"/>
      <x:c r="T41" s="281"/>
      <x:c r="U41" s="281"/>
      <x:c r="V41" s="281"/>
      <x:c r="W41" s="281"/>
      <x:c r="X41" s="281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396"/>
      <x:c r="B42" s="362"/>
      <x:c r="C42" s="362"/>
      <x:c r="D42" s="364"/>
      <x:c r="E42" s="362"/>
      <x:c r="F42" s="362"/>
      <x:c r="G42" s="362"/>
      <x:c r="H42" s="389"/>
      <x:c r="I42" s="281"/>
      <x:c r="J42" s="281"/>
      <x:c r="K42" s="281"/>
      <x:c r="L42" s="281"/>
      <x:c r="M42" s="281"/>
      <x:c r="N42" s="281"/>
      <x:c r="O42" s="281"/>
      <x:c r="P42" s="281"/>
      <x:c r="Q42" s="281"/>
      <x:c r="R42" s="281"/>
      <x:c r="S42" s="281"/>
      <x:c r="T42" s="281"/>
      <x:c r="U42" s="281"/>
      <x:c r="V42" s="281"/>
      <x:c r="W42" s="281"/>
      <x:c r="X42" s="281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396"/>
      <x:c r="B43" s="362"/>
      <x:c r="C43" s="362"/>
      <x:c r="D43" s="364"/>
      <x:c r="E43" s="362"/>
      <x:c r="F43" s="362"/>
      <x:c r="G43" s="362"/>
      <x:c r="H43" s="389"/>
      <x:c r="I43" s="281"/>
      <x:c r="J43" s="281"/>
      <x:c r="K43" s="281"/>
      <x:c r="L43" s="281"/>
      <x:c r="M43" s="281"/>
      <x:c r="N43" s="281"/>
      <x:c r="O43" s="281"/>
      <x:c r="P43" s="281"/>
      <x:c r="Q43" s="281"/>
      <x:c r="R43" s="281"/>
      <x:c r="S43" s="281"/>
      <x:c r="T43" s="281"/>
      <x:c r="U43" s="281"/>
      <x:c r="V43" s="281"/>
      <x:c r="W43" s="281"/>
      <x:c r="X43" s="281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396"/>
      <x:c r="B44" s="362"/>
      <x:c r="C44" s="362"/>
      <x:c r="D44" s="364"/>
      <x:c r="E44" s="362"/>
      <x:c r="F44" s="362"/>
      <x:c r="G44" s="362"/>
      <x:c r="H44" s="389"/>
      <x:c r="I44" s="281"/>
      <x:c r="J44" s="281"/>
      <x:c r="K44" s="281"/>
      <x:c r="L44" s="281"/>
      <x:c r="M44" s="281"/>
      <x:c r="N44" s="281"/>
      <x:c r="O44" s="281"/>
      <x:c r="P44" s="281"/>
      <x:c r="Q44" s="281"/>
      <x:c r="R44" s="281"/>
      <x:c r="S44" s="281"/>
      <x:c r="T44" s="281"/>
      <x:c r="U44" s="281"/>
      <x:c r="V44" s="281"/>
      <x:c r="W44" s="281"/>
      <x:c r="X44" s="281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396"/>
      <x:c r="B45" s="362"/>
      <x:c r="C45" s="362"/>
      <x:c r="D45" s="364"/>
      <x:c r="E45" s="362"/>
      <x:c r="F45" s="362"/>
      <x:c r="G45" s="362"/>
      <x:c r="H45" s="389"/>
      <x:c r="I45" s="281"/>
      <x:c r="J45" s="281"/>
      <x:c r="K45" s="281"/>
      <x:c r="L45" s="281"/>
      <x:c r="M45" s="281"/>
      <x:c r="N45" s="281"/>
      <x:c r="O45" s="281"/>
      <x:c r="P45" s="281"/>
      <x:c r="Q45" s="281"/>
      <x:c r="R45" s="281"/>
      <x:c r="S45" s="281"/>
      <x:c r="T45" s="281"/>
      <x:c r="U45" s="281"/>
      <x:c r="V45" s="281"/>
      <x:c r="W45" s="281"/>
      <x:c r="X45" s="281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396"/>
      <x:c r="B46" s="362"/>
      <x:c r="C46" s="362"/>
      <x:c r="D46" s="364"/>
      <x:c r="E46" s="362"/>
      <x:c r="F46" s="362"/>
      <x:c r="G46" s="362"/>
      <x:c r="H46" s="389"/>
      <x:c r="I46" s="281"/>
      <x:c r="J46" s="281"/>
      <x:c r="K46" s="281"/>
      <x:c r="L46" s="281"/>
      <x:c r="M46" s="281"/>
      <x:c r="N46" s="281"/>
      <x:c r="O46" s="281"/>
      <x:c r="P46" s="281"/>
      <x:c r="Q46" s="281"/>
      <x:c r="R46" s="281"/>
      <x:c r="S46" s="281"/>
      <x:c r="T46" s="281"/>
      <x:c r="U46" s="281"/>
      <x:c r="V46" s="281"/>
      <x:c r="W46" s="281"/>
      <x:c r="X46" s="281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396"/>
      <x:c r="B47" s="362"/>
      <x:c r="C47" s="362"/>
      <x:c r="D47" s="364"/>
      <x:c r="E47" s="362"/>
      <x:c r="F47" s="362"/>
      <x:c r="G47" s="362"/>
      <x:c r="H47" s="389"/>
      <x:c r="I47" s="281"/>
      <x:c r="J47" s="281"/>
      <x:c r="K47" s="281"/>
      <x:c r="L47" s="281"/>
      <x:c r="M47" s="281"/>
      <x:c r="N47" s="281"/>
      <x:c r="O47" s="281"/>
      <x:c r="P47" s="281"/>
      <x:c r="Q47" s="281"/>
      <x:c r="R47" s="281"/>
      <x:c r="S47" s="281"/>
      <x:c r="T47" s="281"/>
      <x:c r="U47" s="281"/>
      <x:c r="V47" s="281"/>
      <x:c r="W47" s="281"/>
      <x:c r="X47" s="281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396"/>
      <x:c r="B48" s="362"/>
      <x:c r="C48" s="362"/>
      <x:c r="D48" s="364"/>
      <x:c r="E48" s="362"/>
      <x:c r="F48" s="362"/>
      <x:c r="G48" s="362"/>
      <x:c r="H48" s="389"/>
      <x:c r="I48" s="281"/>
      <x:c r="J48" s="281"/>
      <x:c r="K48" s="281"/>
      <x:c r="L48" s="281"/>
      <x:c r="M48" s="281"/>
      <x:c r="N48" s="281"/>
      <x:c r="O48" s="281"/>
      <x:c r="P48" s="281"/>
      <x:c r="Q48" s="281"/>
      <x:c r="R48" s="281"/>
      <x:c r="S48" s="281"/>
      <x:c r="T48" s="281"/>
      <x:c r="U48" s="281"/>
      <x:c r="V48" s="281"/>
      <x:c r="W48" s="281"/>
      <x:c r="X48" s="281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396"/>
      <x:c r="B49" s="362"/>
      <x:c r="C49" s="362"/>
      <x:c r="D49" s="364"/>
      <x:c r="E49" s="362"/>
      <x:c r="F49" s="362"/>
      <x:c r="G49" s="362"/>
      <x:c r="H49" s="389"/>
      <x:c r="I49" s="281"/>
      <x:c r="J49" s="281"/>
      <x:c r="K49" s="281"/>
      <x:c r="L49" s="281"/>
      <x:c r="M49" s="281"/>
      <x:c r="N49" s="281"/>
      <x:c r="O49" s="281"/>
      <x:c r="P49" s="281"/>
      <x:c r="Q49" s="281"/>
      <x:c r="R49" s="281"/>
      <x:c r="S49" s="281"/>
      <x:c r="T49" s="281"/>
      <x:c r="U49" s="281"/>
      <x:c r="V49" s="281"/>
      <x:c r="W49" s="281"/>
      <x:c r="X49" s="281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396"/>
      <x:c r="B50" s="362"/>
      <x:c r="C50" s="362"/>
      <x:c r="D50" s="364"/>
      <x:c r="E50" s="362"/>
      <x:c r="F50" s="362"/>
      <x:c r="G50" s="362"/>
      <x:c r="H50" s="389"/>
      <x:c r="I50" s="281"/>
      <x:c r="J50" s="281"/>
      <x:c r="K50" s="281"/>
      <x:c r="L50" s="281"/>
      <x:c r="M50" s="281"/>
      <x:c r="N50" s="281"/>
      <x:c r="O50" s="281"/>
      <x:c r="P50" s="281"/>
      <x:c r="Q50" s="281"/>
      <x:c r="R50" s="281"/>
      <x:c r="S50" s="281"/>
      <x:c r="T50" s="281"/>
      <x:c r="U50" s="281"/>
      <x:c r="V50" s="281"/>
      <x:c r="W50" s="281"/>
      <x:c r="X50" s="281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396"/>
      <x:c r="B51" s="362"/>
      <x:c r="C51" s="362"/>
      <x:c r="D51" s="364"/>
      <x:c r="E51" s="362"/>
      <x:c r="F51" s="362"/>
      <x:c r="G51" s="362"/>
      <x:c r="H51" s="389"/>
      <x:c r="I51" s="281"/>
      <x:c r="J51" s="281"/>
      <x:c r="K51" s="281"/>
      <x:c r="L51" s="281"/>
      <x:c r="M51" s="281"/>
      <x:c r="N51" s="281"/>
      <x:c r="O51" s="281"/>
      <x:c r="P51" s="281"/>
      <x:c r="Q51" s="281"/>
      <x:c r="R51" s="281"/>
      <x:c r="S51" s="281"/>
      <x:c r="T51" s="281"/>
      <x:c r="U51" s="281"/>
      <x:c r="V51" s="281"/>
      <x:c r="W51" s="281"/>
      <x:c r="X51" s="281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396"/>
      <x:c r="B52" s="362"/>
      <x:c r="C52" s="362"/>
      <x:c r="D52" s="364"/>
      <x:c r="E52" s="362"/>
      <x:c r="F52" s="362"/>
      <x:c r="G52" s="362"/>
      <x:c r="H52" s="389"/>
      <x:c r="I52" s="281"/>
      <x:c r="J52" s="281"/>
      <x:c r="K52" s="281"/>
      <x:c r="L52" s="281"/>
      <x:c r="M52" s="281"/>
      <x:c r="N52" s="281"/>
      <x:c r="O52" s="281"/>
      <x:c r="P52" s="281"/>
      <x:c r="Q52" s="281"/>
      <x:c r="R52" s="281"/>
      <x:c r="S52" s="281"/>
      <x:c r="T52" s="281"/>
      <x:c r="U52" s="281"/>
      <x:c r="V52" s="281"/>
      <x:c r="W52" s="281"/>
      <x:c r="X52" s="281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396"/>
      <x:c r="B53" s="362"/>
      <x:c r="C53" s="362"/>
      <x:c r="D53" s="364"/>
      <x:c r="E53" s="362"/>
      <x:c r="F53" s="362"/>
      <x:c r="G53" s="362"/>
      <x:c r="H53" s="389"/>
      <x:c r="I53" s="281"/>
      <x:c r="J53" s="281"/>
      <x:c r="K53" s="281"/>
      <x:c r="L53" s="281"/>
      <x:c r="M53" s="281"/>
      <x:c r="N53" s="281"/>
      <x:c r="O53" s="281"/>
      <x:c r="P53" s="281"/>
      <x:c r="Q53" s="281"/>
      <x:c r="R53" s="281"/>
      <x:c r="S53" s="281"/>
      <x:c r="T53" s="281"/>
      <x:c r="U53" s="281"/>
      <x:c r="V53" s="281"/>
      <x:c r="W53" s="281"/>
      <x:c r="X53" s="281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396"/>
      <x:c r="B54" s="362"/>
      <x:c r="C54" s="362"/>
      <x:c r="D54" s="364"/>
      <x:c r="E54" s="362"/>
      <x:c r="F54" s="362"/>
      <x:c r="G54" s="362"/>
      <x:c r="H54" s="389"/>
      <x:c r="I54" s="281"/>
      <x:c r="J54" s="281"/>
      <x:c r="K54" s="281"/>
      <x:c r="L54" s="281"/>
      <x:c r="M54" s="281"/>
      <x:c r="N54" s="281"/>
      <x:c r="O54" s="281"/>
      <x:c r="P54" s="281"/>
      <x:c r="Q54" s="281"/>
      <x:c r="R54" s="281"/>
      <x:c r="S54" s="281"/>
      <x:c r="T54" s="281"/>
      <x:c r="U54" s="281"/>
      <x:c r="V54" s="281"/>
      <x:c r="W54" s="281"/>
      <x:c r="X54" s="281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396"/>
      <x:c r="B55" s="362"/>
      <x:c r="C55" s="362"/>
      <x:c r="D55" s="364"/>
      <x:c r="E55" s="362"/>
      <x:c r="F55" s="362"/>
      <x:c r="G55" s="362"/>
      <x:c r="H55" s="389"/>
      <x:c r="I55" s="281"/>
      <x:c r="J55" s="281"/>
      <x:c r="K55" s="281"/>
      <x:c r="L55" s="281"/>
      <x:c r="M55" s="281"/>
      <x:c r="N55" s="281"/>
      <x:c r="O55" s="281"/>
      <x:c r="P55" s="281"/>
      <x:c r="Q55" s="281"/>
      <x:c r="R55" s="281"/>
      <x:c r="S55" s="281"/>
      <x:c r="T55" s="281"/>
      <x:c r="U55" s="281"/>
      <x:c r="V55" s="281"/>
      <x:c r="W55" s="281"/>
      <x:c r="X55" s="281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396"/>
      <x:c r="B56" s="362"/>
      <x:c r="C56" s="362"/>
      <x:c r="D56" s="364"/>
      <x:c r="E56" s="362"/>
      <x:c r="F56" s="362"/>
      <x:c r="G56" s="362"/>
      <x:c r="H56" s="389"/>
      <x:c r="I56" s="281"/>
      <x:c r="J56" s="281"/>
      <x:c r="K56" s="281"/>
      <x:c r="L56" s="281"/>
      <x:c r="M56" s="281"/>
      <x:c r="N56" s="281"/>
      <x:c r="O56" s="281"/>
      <x:c r="P56" s="281"/>
      <x:c r="Q56" s="281"/>
      <x:c r="R56" s="281"/>
      <x:c r="S56" s="281"/>
      <x:c r="T56" s="281"/>
      <x:c r="U56" s="281"/>
      <x:c r="V56" s="281"/>
      <x:c r="W56" s="281"/>
      <x:c r="X56" s="281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396"/>
      <x:c r="B57" s="362"/>
      <x:c r="C57" s="362"/>
      <x:c r="D57" s="364"/>
      <x:c r="E57" s="362"/>
      <x:c r="F57" s="362"/>
      <x:c r="G57" s="362"/>
      <x:c r="H57" s="389"/>
      <x:c r="I57" s="281"/>
      <x:c r="J57" s="281"/>
      <x:c r="K57" s="281"/>
      <x:c r="L57" s="281"/>
      <x:c r="M57" s="281"/>
      <x:c r="N57" s="281"/>
      <x:c r="O57" s="281"/>
      <x:c r="P57" s="281"/>
      <x:c r="Q57" s="281"/>
      <x:c r="R57" s="281"/>
      <x:c r="S57" s="281"/>
      <x:c r="T57" s="281"/>
      <x:c r="U57" s="281"/>
      <x:c r="V57" s="281"/>
      <x:c r="W57" s="281"/>
      <x:c r="X57" s="281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396"/>
      <x:c r="B58" s="362"/>
      <x:c r="C58" s="362"/>
      <x:c r="D58" s="364"/>
      <x:c r="E58" s="362"/>
      <x:c r="F58" s="362"/>
      <x:c r="G58" s="362"/>
      <x:c r="H58" s="389"/>
      <x:c r="I58" s="281"/>
      <x:c r="J58" s="281"/>
      <x:c r="K58" s="281"/>
      <x:c r="L58" s="281"/>
      <x:c r="M58" s="281"/>
      <x:c r="N58" s="281"/>
      <x:c r="O58" s="281"/>
      <x:c r="P58" s="281"/>
      <x:c r="Q58" s="281"/>
      <x:c r="R58" s="281"/>
      <x:c r="S58" s="281"/>
      <x:c r="T58" s="281"/>
      <x:c r="U58" s="281"/>
      <x:c r="V58" s="281"/>
      <x:c r="W58" s="281"/>
      <x:c r="X58" s="281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396"/>
      <x:c r="B59" s="362"/>
      <x:c r="C59" s="362"/>
      <x:c r="D59" s="364"/>
      <x:c r="E59" s="362"/>
      <x:c r="F59" s="362"/>
      <x:c r="G59" s="362"/>
      <x:c r="H59" s="389"/>
      <x:c r="I59" s="281"/>
      <x:c r="J59" s="281"/>
      <x:c r="K59" s="281"/>
      <x:c r="L59" s="281"/>
      <x:c r="M59" s="281"/>
      <x:c r="N59" s="281"/>
      <x:c r="O59" s="281"/>
      <x:c r="P59" s="281"/>
      <x:c r="Q59" s="281"/>
      <x:c r="R59" s="281"/>
      <x:c r="S59" s="281"/>
      <x:c r="T59" s="281"/>
      <x:c r="U59" s="281"/>
      <x:c r="V59" s="281"/>
      <x:c r="W59" s="281"/>
      <x:c r="X59" s="281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396"/>
      <x:c r="B60" s="362"/>
      <x:c r="C60" s="362"/>
      <x:c r="D60" s="364"/>
      <x:c r="E60" s="362"/>
      <x:c r="F60" s="362"/>
      <x:c r="G60" s="362"/>
      <x:c r="H60" s="389"/>
      <x:c r="I60" s="281"/>
      <x:c r="J60" s="281"/>
      <x:c r="K60" s="281"/>
      <x:c r="L60" s="281"/>
      <x:c r="M60" s="281"/>
      <x:c r="N60" s="281"/>
      <x:c r="O60" s="281"/>
      <x:c r="P60" s="281"/>
      <x:c r="Q60" s="281"/>
      <x:c r="R60" s="281"/>
      <x:c r="S60" s="281"/>
      <x:c r="T60" s="281"/>
      <x:c r="U60" s="281"/>
      <x:c r="V60" s="281"/>
      <x:c r="W60" s="281"/>
      <x:c r="X60" s="281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396"/>
      <x:c r="B61" s="362"/>
      <x:c r="C61" s="362"/>
      <x:c r="D61" s="364"/>
      <x:c r="E61" s="362"/>
      <x:c r="F61" s="362"/>
      <x:c r="G61" s="362"/>
      <x:c r="H61" s="389"/>
      <x:c r="I61" s="281"/>
      <x:c r="J61" s="281"/>
      <x:c r="K61" s="281"/>
      <x:c r="L61" s="281"/>
      <x:c r="M61" s="281"/>
      <x:c r="N61" s="281"/>
      <x:c r="O61" s="281"/>
      <x:c r="P61" s="281"/>
      <x:c r="Q61" s="281"/>
      <x:c r="R61" s="281"/>
      <x:c r="S61" s="281"/>
      <x:c r="T61" s="281"/>
      <x:c r="U61" s="281"/>
      <x:c r="V61" s="281"/>
      <x:c r="W61" s="281"/>
      <x:c r="X61" s="281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396"/>
      <x:c r="B62" s="362"/>
      <x:c r="C62" s="362"/>
      <x:c r="D62" s="364"/>
      <x:c r="E62" s="362"/>
      <x:c r="F62" s="362"/>
      <x:c r="G62" s="362"/>
      <x:c r="H62" s="389"/>
      <x:c r="I62" s="281"/>
      <x:c r="J62" s="281"/>
      <x:c r="K62" s="281"/>
      <x:c r="L62" s="281"/>
      <x:c r="M62" s="281"/>
      <x:c r="N62" s="281"/>
      <x:c r="O62" s="281"/>
      <x:c r="P62" s="281"/>
      <x:c r="Q62" s="281"/>
      <x:c r="R62" s="281"/>
      <x:c r="S62" s="281"/>
      <x:c r="T62" s="281"/>
      <x:c r="U62" s="281"/>
      <x:c r="V62" s="281"/>
      <x:c r="W62" s="281"/>
      <x:c r="X62" s="281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396"/>
      <x:c r="B63" s="362"/>
      <x:c r="C63" s="362"/>
      <x:c r="D63" s="364"/>
      <x:c r="E63" s="362"/>
      <x:c r="F63" s="362"/>
      <x:c r="G63" s="362"/>
      <x:c r="H63" s="389"/>
      <x:c r="I63" s="281"/>
      <x:c r="J63" s="281"/>
      <x:c r="K63" s="281"/>
      <x:c r="L63" s="281"/>
      <x:c r="M63" s="281"/>
      <x:c r="N63" s="281"/>
      <x:c r="O63" s="281"/>
      <x:c r="P63" s="281"/>
      <x:c r="Q63" s="281"/>
      <x:c r="R63" s="281"/>
      <x:c r="S63" s="281"/>
      <x:c r="T63" s="281"/>
      <x:c r="U63" s="281"/>
      <x:c r="V63" s="281"/>
      <x:c r="W63" s="281"/>
      <x:c r="X63" s="281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396"/>
      <x:c r="B64" s="362"/>
      <x:c r="C64" s="362"/>
      <x:c r="D64" s="364"/>
      <x:c r="E64" s="362"/>
      <x:c r="F64" s="362"/>
      <x:c r="G64" s="362"/>
      <x:c r="H64" s="389"/>
      <x:c r="I64" s="281"/>
      <x:c r="J64" s="281"/>
      <x:c r="K64" s="281"/>
      <x:c r="L64" s="281"/>
      <x:c r="M64" s="281"/>
      <x:c r="N64" s="281"/>
      <x:c r="O64" s="281"/>
      <x:c r="P64" s="281"/>
      <x:c r="Q64" s="281"/>
      <x:c r="R64" s="281"/>
      <x:c r="S64" s="281"/>
      <x:c r="T64" s="281"/>
      <x:c r="U64" s="281"/>
      <x:c r="V64" s="281"/>
      <x:c r="W64" s="281"/>
      <x:c r="X64" s="281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396"/>
      <x:c r="B65" s="362"/>
      <x:c r="C65" s="362"/>
      <x:c r="D65" s="364"/>
      <x:c r="E65" s="362"/>
      <x:c r="F65" s="362"/>
      <x:c r="G65" s="362"/>
      <x:c r="H65" s="389"/>
      <x:c r="I65" s="281"/>
      <x:c r="J65" s="281"/>
      <x:c r="K65" s="281"/>
      <x:c r="L65" s="281"/>
      <x:c r="M65" s="281"/>
      <x:c r="N65" s="281"/>
      <x:c r="O65" s="281"/>
      <x:c r="P65" s="281"/>
      <x:c r="Q65" s="281"/>
      <x:c r="R65" s="281"/>
      <x:c r="S65" s="281"/>
      <x:c r="T65" s="281"/>
      <x:c r="U65" s="281"/>
      <x:c r="V65" s="281"/>
      <x:c r="W65" s="281"/>
      <x:c r="X65" s="281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396"/>
      <x:c r="B66" s="362"/>
      <x:c r="C66" s="362"/>
      <x:c r="D66" s="364"/>
      <x:c r="E66" s="362"/>
      <x:c r="F66" s="362"/>
      <x:c r="G66" s="362"/>
      <x:c r="H66" s="389"/>
      <x:c r="I66" s="281"/>
      <x:c r="J66" s="281"/>
      <x:c r="K66" s="281"/>
      <x:c r="L66" s="281"/>
      <x:c r="M66" s="281"/>
      <x:c r="N66" s="281"/>
      <x:c r="O66" s="281"/>
      <x:c r="P66" s="281"/>
      <x:c r="Q66" s="281"/>
      <x:c r="R66" s="281"/>
      <x:c r="S66" s="281"/>
      <x:c r="T66" s="281"/>
      <x:c r="U66" s="281"/>
      <x:c r="V66" s="281"/>
      <x:c r="W66" s="281"/>
      <x:c r="X66" s="281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396"/>
      <x:c r="B67" s="362"/>
      <x:c r="C67" s="362"/>
      <x:c r="D67" s="364"/>
      <x:c r="E67" s="362"/>
      <x:c r="F67" s="362"/>
      <x:c r="G67" s="362"/>
      <x:c r="H67" s="389"/>
      <x:c r="I67" s="281"/>
      <x:c r="J67" s="281"/>
      <x:c r="K67" s="281"/>
      <x:c r="L67" s="281"/>
      <x:c r="M67" s="281"/>
      <x:c r="N67" s="281"/>
      <x:c r="O67" s="281"/>
      <x:c r="P67" s="281"/>
      <x:c r="Q67" s="281"/>
      <x:c r="R67" s="281"/>
      <x:c r="S67" s="281"/>
      <x:c r="T67" s="281"/>
      <x:c r="U67" s="281"/>
      <x:c r="V67" s="281"/>
      <x:c r="W67" s="281"/>
      <x:c r="X67" s="281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396"/>
      <x:c r="B68" s="362"/>
      <x:c r="C68" s="362"/>
      <x:c r="D68" s="364"/>
      <x:c r="E68" s="362"/>
      <x:c r="F68" s="362"/>
      <x:c r="G68" s="362"/>
      <x:c r="H68" s="389"/>
      <x:c r="I68" s="281"/>
      <x:c r="J68" s="281"/>
      <x:c r="K68" s="281"/>
      <x:c r="L68" s="281"/>
      <x:c r="M68" s="281"/>
      <x:c r="N68" s="281"/>
      <x:c r="O68" s="281"/>
      <x:c r="P68" s="281"/>
      <x:c r="Q68" s="281"/>
      <x:c r="R68" s="281"/>
      <x:c r="S68" s="281"/>
      <x:c r="T68" s="281"/>
      <x:c r="U68" s="281"/>
      <x:c r="V68" s="281"/>
      <x:c r="W68" s="281"/>
      <x:c r="X68" s="281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396"/>
      <x:c r="B69" s="362"/>
      <x:c r="C69" s="362"/>
      <x:c r="D69" s="364"/>
      <x:c r="E69" s="362"/>
      <x:c r="F69" s="362"/>
      <x:c r="G69" s="362"/>
      <x:c r="H69" s="389"/>
      <x:c r="I69" s="281"/>
      <x:c r="J69" s="281"/>
      <x:c r="K69" s="281"/>
      <x:c r="L69" s="281"/>
      <x:c r="M69" s="281"/>
      <x:c r="N69" s="281"/>
      <x:c r="O69" s="281"/>
      <x:c r="P69" s="281"/>
      <x:c r="Q69" s="281"/>
      <x:c r="R69" s="281"/>
      <x:c r="S69" s="281"/>
      <x:c r="T69" s="281"/>
      <x:c r="U69" s="281"/>
      <x:c r="V69" s="281"/>
      <x:c r="W69" s="281"/>
      <x:c r="X69" s="281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396"/>
      <x:c r="B70" s="362"/>
      <x:c r="C70" s="362"/>
      <x:c r="D70" s="364"/>
      <x:c r="E70" s="362"/>
      <x:c r="F70" s="362"/>
      <x:c r="G70" s="362"/>
      <x:c r="H70" s="389"/>
      <x:c r="I70" s="281"/>
      <x:c r="J70" s="281"/>
      <x:c r="K70" s="281"/>
      <x:c r="L70" s="281"/>
      <x:c r="M70" s="281"/>
      <x:c r="N70" s="281"/>
      <x:c r="O70" s="281"/>
      <x:c r="P70" s="281"/>
      <x:c r="Q70" s="281"/>
      <x:c r="R70" s="281"/>
      <x:c r="S70" s="281"/>
      <x:c r="T70" s="281"/>
      <x:c r="U70" s="281"/>
      <x:c r="V70" s="281"/>
      <x:c r="W70" s="281"/>
      <x:c r="X70" s="281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396"/>
      <x:c r="B71" s="362"/>
      <x:c r="C71" s="362"/>
      <x:c r="D71" s="364"/>
      <x:c r="E71" s="362"/>
      <x:c r="F71" s="362"/>
      <x:c r="G71" s="362"/>
      <x:c r="H71" s="389"/>
      <x:c r="I71" s="281"/>
      <x:c r="J71" s="281"/>
      <x:c r="K71" s="281"/>
      <x:c r="L71" s="281"/>
      <x:c r="M71" s="281"/>
      <x:c r="N71" s="281"/>
      <x:c r="O71" s="281"/>
      <x:c r="P71" s="281"/>
      <x:c r="Q71" s="281"/>
      <x:c r="R71" s="281"/>
      <x:c r="S71" s="281"/>
      <x:c r="T71" s="281"/>
      <x:c r="U71" s="281"/>
      <x:c r="V71" s="281"/>
      <x:c r="W71" s="281"/>
      <x:c r="X71" s="281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396"/>
      <x:c r="B72" s="362"/>
      <x:c r="C72" s="362"/>
      <x:c r="D72" s="364"/>
      <x:c r="E72" s="362"/>
      <x:c r="F72" s="362"/>
      <x:c r="G72" s="362"/>
      <x:c r="H72" s="389"/>
      <x:c r="I72" s="281"/>
      <x:c r="J72" s="281"/>
      <x:c r="K72" s="281"/>
      <x:c r="L72" s="281"/>
      <x:c r="M72" s="281"/>
      <x:c r="N72" s="281"/>
      <x:c r="O72" s="281"/>
      <x:c r="P72" s="281"/>
      <x:c r="Q72" s="281"/>
      <x:c r="R72" s="281"/>
      <x:c r="S72" s="281"/>
      <x:c r="T72" s="281"/>
      <x:c r="U72" s="281"/>
      <x:c r="V72" s="281"/>
      <x:c r="W72" s="281"/>
      <x:c r="X72" s="281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396"/>
      <x:c r="B73" s="362"/>
      <x:c r="C73" s="362"/>
      <x:c r="D73" s="364"/>
      <x:c r="E73" s="362"/>
      <x:c r="F73" s="362"/>
      <x:c r="G73" s="362"/>
      <x:c r="H73" s="389"/>
      <x:c r="I73" s="281"/>
      <x:c r="J73" s="281"/>
      <x:c r="K73" s="281"/>
      <x:c r="L73" s="281"/>
      <x:c r="M73" s="281"/>
      <x:c r="N73" s="281"/>
      <x:c r="O73" s="281"/>
      <x:c r="P73" s="281"/>
      <x:c r="Q73" s="281"/>
      <x:c r="R73" s="281"/>
      <x:c r="S73" s="281"/>
      <x:c r="T73" s="281"/>
      <x:c r="U73" s="281"/>
      <x:c r="V73" s="281"/>
      <x:c r="W73" s="281"/>
      <x:c r="X73" s="281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396"/>
      <x:c r="B74" s="362"/>
      <x:c r="C74" s="362"/>
      <x:c r="D74" s="364"/>
      <x:c r="E74" s="362"/>
      <x:c r="F74" s="362"/>
      <x:c r="G74" s="362"/>
      <x:c r="H74" s="389"/>
      <x:c r="I74" s="281"/>
      <x:c r="J74" s="281"/>
      <x:c r="K74" s="281"/>
      <x:c r="L74" s="281"/>
      <x:c r="M74" s="281"/>
      <x:c r="N74" s="281"/>
      <x:c r="O74" s="281"/>
      <x:c r="P74" s="281"/>
      <x:c r="Q74" s="281"/>
      <x:c r="R74" s="281"/>
      <x:c r="S74" s="281"/>
      <x:c r="T74" s="281"/>
      <x:c r="U74" s="281"/>
      <x:c r="V74" s="281"/>
      <x:c r="W74" s="281"/>
      <x:c r="X74" s="281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396"/>
      <x:c r="B75" s="362"/>
      <x:c r="C75" s="362"/>
      <x:c r="D75" s="364"/>
      <x:c r="E75" s="362"/>
      <x:c r="F75" s="362"/>
      <x:c r="G75" s="362"/>
      <x:c r="H75" s="389"/>
      <x:c r="I75" s="281"/>
      <x:c r="J75" s="281"/>
      <x:c r="K75" s="281"/>
      <x:c r="L75" s="281"/>
      <x:c r="M75" s="281"/>
      <x:c r="N75" s="281"/>
      <x:c r="O75" s="281"/>
      <x:c r="P75" s="281"/>
      <x:c r="Q75" s="281"/>
      <x:c r="R75" s="281"/>
      <x:c r="S75" s="281"/>
      <x:c r="T75" s="281"/>
      <x:c r="U75" s="281"/>
      <x:c r="V75" s="281"/>
      <x:c r="W75" s="281"/>
      <x:c r="X75" s="281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396"/>
      <x:c r="B76" s="362"/>
      <x:c r="C76" s="362"/>
      <x:c r="D76" s="364"/>
      <x:c r="E76" s="362"/>
      <x:c r="F76" s="362"/>
      <x:c r="G76" s="362"/>
      <x:c r="H76" s="389"/>
      <x:c r="I76" s="281"/>
      <x:c r="J76" s="281"/>
      <x:c r="K76" s="281"/>
      <x:c r="L76" s="281"/>
      <x:c r="M76" s="281"/>
      <x:c r="N76" s="281"/>
      <x:c r="O76" s="281"/>
      <x:c r="P76" s="281"/>
      <x:c r="Q76" s="281"/>
      <x:c r="R76" s="281"/>
      <x:c r="S76" s="281"/>
      <x:c r="T76" s="281"/>
      <x:c r="U76" s="281"/>
      <x:c r="V76" s="281"/>
      <x:c r="W76" s="281"/>
      <x:c r="X76" s="281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396"/>
      <x:c r="B77" s="362"/>
      <x:c r="C77" s="362"/>
      <x:c r="D77" s="364"/>
      <x:c r="E77" s="362"/>
      <x:c r="F77" s="362"/>
      <x:c r="G77" s="362"/>
      <x:c r="H77" s="389"/>
      <x:c r="I77" s="281"/>
      <x:c r="J77" s="281"/>
      <x:c r="K77" s="281"/>
      <x:c r="L77" s="281"/>
      <x:c r="M77" s="281"/>
      <x:c r="N77" s="281"/>
      <x:c r="O77" s="281"/>
      <x:c r="P77" s="281"/>
      <x:c r="Q77" s="281"/>
      <x:c r="R77" s="281"/>
      <x:c r="S77" s="281"/>
      <x:c r="T77" s="281"/>
      <x:c r="U77" s="281"/>
      <x:c r="V77" s="281"/>
      <x:c r="W77" s="281"/>
      <x:c r="X77" s="281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396"/>
      <x:c r="B78" s="362"/>
      <x:c r="C78" s="362"/>
      <x:c r="D78" s="364"/>
      <x:c r="E78" s="362"/>
      <x:c r="F78" s="362"/>
      <x:c r="G78" s="362"/>
      <x:c r="H78" s="389"/>
      <x:c r="I78" s="281"/>
      <x:c r="J78" s="281"/>
      <x:c r="K78" s="281"/>
      <x:c r="L78" s="281"/>
      <x:c r="M78" s="281"/>
      <x:c r="N78" s="281"/>
      <x:c r="O78" s="281"/>
      <x:c r="P78" s="281"/>
      <x:c r="Q78" s="281"/>
      <x:c r="R78" s="281"/>
      <x:c r="S78" s="281"/>
      <x:c r="T78" s="281"/>
      <x:c r="U78" s="281"/>
      <x:c r="V78" s="281"/>
      <x:c r="W78" s="281"/>
      <x:c r="X78" s="281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396"/>
      <x:c r="B79" s="362"/>
      <x:c r="C79" s="362"/>
      <x:c r="D79" s="364"/>
      <x:c r="E79" s="362"/>
      <x:c r="F79" s="362"/>
      <x:c r="G79" s="362"/>
      <x:c r="H79" s="389"/>
      <x:c r="I79" s="281"/>
      <x:c r="J79" s="281"/>
      <x:c r="K79" s="281"/>
      <x:c r="L79" s="281"/>
      <x:c r="M79" s="281"/>
      <x:c r="N79" s="281"/>
      <x:c r="O79" s="281"/>
      <x:c r="P79" s="281"/>
      <x:c r="Q79" s="281"/>
      <x:c r="R79" s="281"/>
      <x:c r="S79" s="281"/>
      <x:c r="T79" s="281"/>
      <x:c r="U79" s="281"/>
      <x:c r="V79" s="281"/>
      <x:c r="W79" s="281"/>
      <x:c r="X79" s="281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396"/>
      <x:c r="B80" s="362"/>
      <x:c r="C80" s="362"/>
      <x:c r="D80" s="364"/>
      <x:c r="E80" s="362"/>
      <x:c r="F80" s="362"/>
      <x:c r="G80" s="362"/>
      <x:c r="H80" s="389"/>
      <x:c r="I80" s="281"/>
      <x:c r="J80" s="281"/>
      <x:c r="K80" s="281"/>
      <x:c r="L80" s="281"/>
      <x:c r="M80" s="281"/>
      <x:c r="N80" s="281"/>
      <x:c r="O80" s="281"/>
      <x:c r="P80" s="281"/>
      <x:c r="Q80" s="281"/>
      <x:c r="R80" s="281"/>
      <x:c r="S80" s="281"/>
      <x:c r="T80" s="281"/>
      <x:c r="U80" s="281"/>
      <x:c r="V80" s="281"/>
      <x:c r="W80" s="281"/>
      <x:c r="X80" s="281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396"/>
      <x:c r="B81" s="362"/>
      <x:c r="C81" s="362"/>
      <x:c r="D81" s="364"/>
      <x:c r="E81" s="362"/>
      <x:c r="F81" s="362"/>
      <x:c r="G81" s="362"/>
      <x:c r="H81" s="389"/>
      <x:c r="I81" s="281"/>
      <x:c r="J81" s="281"/>
      <x:c r="K81" s="281"/>
      <x:c r="L81" s="281"/>
      <x:c r="M81" s="281"/>
      <x:c r="N81" s="281"/>
      <x:c r="O81" s="281"/>
      <x:c r="P81" s="281"/>
      <x:c r="Q81" s="281"/>
      <x:c r="R81" s="281"/>
      <x:c r="S81" s="281"/>
      <x:c r="T81" s="281"/>
      <x:c r="U81" s="281"/>
      <x:c r="V81" s="281"/>
      <x:c r="W81" s="281"/>
      <x:c r="X81" s="281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396"/>
      <x:c r="B82" s="362"/>
      <x:c r="C82" s="362"/>
      <x:c r="D82" s="364"/>
      <x:c r="E82" s="362"/>
      <x:c r="F82" s="362"/>
      <x:c r="G82" s="362"/>
      <x:c r="H82" s="389"/>
      <x:c r="I82" s="281"/>
      <x:c r="J82" s="281"/>
      <x:c r="K82" s="281"/>
      <x:c r="L82" s="281"/>
      <x:c r="M82" s="281"/>
      <x:c r="N82" s="281"/>
      <x:c r="O82" s="281"/>
      <x:c r="P82" s="281"/>
      <x:c r="Q82" s="281"/>
      <x:c r="R82" s="281"/>
      <x:c r="S82" s="281"/>
      <x:c r="T82" s="281"/>
      <x:c r="U82" s="281"/>
      <x:c r="V82" s="281"/>
      <x:c r="W82" s="281"/>
      <x:c r="X82" s="281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396"/>
      <x:c r="B83" s="362"/>
      <x:c r="C83" s="362"/>
      <x:c r="D83" s="364"/>
      <x:c r="E83" s="362"/>
      <x:c r="F83" s="362"/>
      <x:c r="G83" s="362"/>
      <x:c r="H83" s="389"/>
      <x:c r="I83" s="281"/>
      <x:c r="J83" s="281"/>
      <x:c r="K83" s="281"/>
      <x:c r="L83" s="281"/>
      <x:c r="M83" s="281"/>
      <x:c r="N83" s="281"/>
      <x:c r="O83" s="281"/>
      <x:c r="P83" s="281"/>
      <x:c r="Q83" s="281"/>
      <x:c r="R83" s="281"/>
      <x:c r="S83" s="281"/>
      <x:c r="T83" s="281"/>
      <x:c r="U83" s="281"/>
      <x:c r="V83" s="281"/>
      <x:c r="W83" s="281"/>
      <x:c r="X83" s="281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396"/>
      <x:c r="B84" s="362"/>
      <x:c r="C84" s="362"/>
      <x:c r="D84" s="364"/>
      <x:c r="E84" s="362"/>
      <x:c r="F84" s="362"/>
      <x:c r="G84" s="362"/>
      <x:c r="H84" s="389"/>
      <x:c r="I84" s="281"/>
      <x:c r="J84" s="281"/>
      <x:c r="K84" s="281"/>
      <x:c r="L84" s="281"/>
      <x:c r="M84" s="281"/>
      <x:c r="N84" s="281"/>
      <x:c r="O84" s="281"/>
      <x:c r="P84" s="281"/>
      <x:c r="Q84" s="281"/>
      <x:c r="R84" s="281"/>
      <x:c r="S84" s="281"/>
      <x:c r="T84" s="281"/>
      <x:c r="U84" s="281"/>
      <x:c r="V84" s="281"/>
      <x:c r="W84" s="281"/>
      <x:c r="X84" s="281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396"/>
      <x:c r="B85" s="362"/>
      <x:c r="C85" s="362"/>
      <x:c r="D85" s="364"/>
      <x:c r="E85" s="362"/>
      <x:c r="F85" s="362"/>
      <x:c r="G85" s="362"/>
      <x:c r="H85" s="389"/>
      <x:c r="I85" s="281"/>
      <x:c r="J85" s="281"/>
      <x:c r="K85" s="281"/>
      <x:c r="L85" s="281"/>
      <x:c r="M85" s="281"/>
      <x:c r="N85" s="281"/>
      <x:c r="O85" s="281"/>
      <x:c r="P85" s="281"/>
      <x:c r="Q85" s="281"/>
      <x:c r="R85" s="281"/>
      <x:c r="S85" s="281"/>
      <x:c r="T85" s="281"/>
      <x:c r="U85" s="281"/>
      <x:c r="V85" s="281"/>
      <x:c r="W85" s="281"/>
      <x:c r="X85" s="281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396"/>
      <x:c r="B86" s="362"/>
      <x:c r="C86" s="362"/>
      <x:c r="D86" s="364"/>
      <x:c r="E86" s="362"/>
      <x:c r="F86" s="362"/>
      <x:c r="G86" s="362"/>
      <x:c r="H86" s="389"/>
      <x:c r="I86" s="281"/>
      <x:c r="J86" s="281"/>
      <x:c r="K86" s="281"/>
      <x:c r="L86" s="281"/>
      <x:c r="M86" s="281"/>
      <x:c r="N86" s="281"/>
      <x:c r="O86" s="281"/>
      <x:c r="P86" s="281"/>
      <x:c r="Q86" s="281"/>
      <x:c r="R86" s="281"/>
      <x:c r="S86" s="281"/>
      <x:c r="T86" s="281"/>
      <x:c r="U86" s="281"/>
      <x:c r="V86" s="281"/>
      <x:c r="W86" s="281"/>
      <x:c r="X86" s="281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396"/>
      <x:c r="B87" s="362"/>
      <x:c r="C87" s="362"/>
      <x:c r="D87" s="364"/>
      <x:c r="E87" s="362"/>
      <x:c r="F87" s="362"/>
      <x:c r="G87" s="362"/>
      <x:c r="H87" s="389"/>
      <x:c r="I87" s="281"/>
      <x:c r="J87" s="281"/>
      <x:c r="K87" s="281"/>
      <x:c r="L87" s="281"/>
      <x:c r="M87" s="281"/>
      <x:c r="N87" s="281"/>
      <x:c r="O87" s="281"/>
      <x:c r="P87" s="281"/>
      <x:c r="Q87" s="281"/>
      <x:c r="R87" s="281"/>
      <x:c r="S87" s="281"/>
      <x:c r="T87" s="281"/>
      <x:c r="U87" s="281"/>
      <x:c r="V87" s="281"/>
      <x:c r="W87" s="281"/>
      <x:c r="X87" s="281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396"/>
      <x:c r="B88" s="362"/>
      <x:c r="C88" s="362"/>
      <x:c r="D88" s="364"/>
      <x:c r="E88" s="362"/>
      <x:c r="F88" s="362"/>
      <x:c r="G88" s="362"/>
      <x:c r="H88" s="389"/>
      <x:c r="I88" s="281"/>
      <x:c r="J88" s="281"/>
      <x:c r="K88" s="281"/>
      <x:c r="L88" s="281"/>
      <x:c r="M88" s="281"/>
      <x:c r="N88" s="281"/>
      <x:c r="O88" s="281"/>
      <x:c r="P88" s="281"/>
      <x:c r="Q88" s="281"/>
      <x:c r="R88" s="281"/>
      <x:c r="S88" s="281"/>
      <x:c r="T88" s="281"/>
      <x:c r="U88" s="281"/>
      <x:c r="V88" s="281"/>
      <x:c r="W88" s="281"/>
      <x:c r="X88" s="281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396"/>
      <x:c r="B89" s="362"/>
      <x:c r="C89" s="362"/>
      <x:c r="D89" s="364"/>
      <x:c r="E89" s="362"/>
      <x:c r="F89" s="362"/>
      <x:c r="G89" s="362"/>
      <x:c r="H89" s="389"/>
      <x:c r="I89" s="281"/>
      <x:c r="J89" s="281"/>
      <x:c r="K89" s="281"/>
      <x:c r="L89" s="281"/>
      <x:c r="M89" s="281"/>
      <x:c r="N89" s="281"/>
      <x:c r="O89" s="281"/>
      <x:c r="P89" s="281"/>
      <x:c r="Q89" s="281"/>
      <x:c r="R89" s="281"/>
      <x:c r="S89" s="281"/>
      <x:c r="T89" s="281"/>
      <x:c r="U89" s="281"/>
      <x:c r="V89" s="281"/>
      <x:c r="W89" s="281"/>
      <x:c r="X89" s="281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396"/>
      <x:c r="B90" s="362"/>
      <x:c r="C90" s="362"/>
      <x:c r="D90" s="364"/>
      <x:c r="E90" s="362"/>
      <x:c r="F90" s="362"/>
      <x:c r="G90" s="362"/>
      <x:c r="H90" s="389"/>
      <x:c r="I90" s="281"/>
      <x:c r="J90" s="281"/>
      <x:c r="K90" s="281"/>
      <x:c r="L90" s="281"/>
      <x:c r="M90" s="281"/>
      <x:c r="N90" s="281"/>
      <x:c r="O90" s="281"/>
      <x:c r="P90" s="281"/>
      <x:c r="Q90" s="281"/>
      <x:c r="R90" s="281"/>
      <x:c r="S90" s="281"/>
      <x:c r="T90" s="281"/>
      <x:c r="U90" s="281"/>
      <x:c r="V90" s="281"/>
      <x:c r="W90" s="281"/>
      <x:c r="X90" s="281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396"/>
      <x:c r="B91" s="362"/>
      <x:c r="C91" s="362"/>
      <x:c r="D91" s="364"/>
      <x:c r="E91" s="362"/>
      <x:c r="F91" s="362"/>
      <x:c r="G91" s="362"/>
      <x:c r="H91" s="389"/>
      <x:c r="I91" s="281"/>
      <x:c r="J91" s="281"/>
      <x:c r="K91" s="281"/>
      <x:c r="L91" s="281"/>
      <x:c r="M91" s="281"/>
      <x:c r="N91" s="281"/>
      <x:c r="O91" s="281"/>
      <x:c r="P91" s="281"/>
      <x:c r="Q91" s="281"/>
      <x:c r="R91" s="281"/>
      <x:c r="S91" s="281"/>
      <x:c r="T91" s="281"/>
      <x:c r="U91" s="281"/>
      <x:c r="V91" s="281"/>
      <x:c r="W91" s="281"/>
      <x:c r="X91" s="281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396"/>
      <x:c r="B92" s="362"/>
      <x:c r="C92" s="362"/>
      <x:c r="D92" s="364"/>
      <x:c r="E92" s="362"/>
      <x:c r="F92" s="362"/>
      <x:c r="G92" s="362"/>
      <x:c r="H92" s="389"/>
      <x:c r="I92" s="281"/>
      <x:c r="J92" s="281"/>
      <x:c r="K92" s="281"/>
      <x:c r="L92" s="281"/>
      <x:c r="M92" s="281"/>
      <x:c r="N92" s="281"/>
      <x:c r="O92" s="281"/>
      <x:c r="P92" s="281"/>
      <x:c r="Q92" s="281"/>
      <x:c r="R92" s="281"/>
      <x:c r="S92" s="281"/>
      <x:c r="T92" s="281"/>
      <x:c r="U92" s="281"/>
      <x:c r="V92" s="281"/>
      <x:c r="W92" s="281"/>
      <x:c r="X92" s="281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396"/>
      <x:c r="B93" s="362"/>
      <x:c r="C93" s="362"/>
      <x:c r="D93" s="364"/>
      <x:c r="E93" s="362"/>
      <x:c r="F93" s="362"/>
      <x:c r="G93" s="362"/>
      <x:c r="H93" s="389"/>
      <x:c r="I93" s="281"/>
      <x:c r="J93" s="281"/>
      <x:c r="K93" s="281"/>
      <x:c r="L93" s="281"/>
      <x:c r="M93" s="281"/>
      <x:c r="N93" s="281"/>
      <x:c r="O93" s="281"/>
      <x:c r="P93" s="281"/>
      <x:c r="Q93" s="281"/>
      <x:c r="R93" s="281"/>
      <x:c r="S93" s="281"/>
      <x:c r="T93" s="281"/>
      <x:c r="U93" s="281"/>
      <x:c r="V93" s="281"/>
      <x:c r="W93" s="281"/>
      <x:c r="X93" s="281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396"/>
      <x:c r="B94" s="362"/>
      <x:c r="C94" s="362"/>
      <x:c r="D94" s="364"/>
      <x:c r="E94" s="362"/>
      <x:c r="F94" s="362"/>
      <x:c r="G94" s="362"/>
      <x:c r="H94" s="389"/>
      <x:c r="I94" s="281"/>
      <x:c r="J94" s="281"/>
      <x:c r="K94" s="281"/>
      <x:c r="L94" s="281"/>
      <x:c r="M94" s="281"/>
      <x:c r="N94" s="281"/>
      <x:c r="O94" s="281"/>
      <x:c r="P94" s="281"/>
      <x:c r="Q94" s="281"/>
      <x:c r="R94" s="281"/>
      <x:c r="S94" s="281"/>
      <x:c r="T94" s="281"/>
      <x:c r="U94" s="281"/>
      <x:c r="V94" s="281"/>
      <x:c r="W94" s="281"/>
      <x:c r="X94" s="281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396"/>
      <x:c r="B95" s="362"/>
      <x:c r="C95" s="362"/>
      <x:c r="D95" s="364"/>
      <x:c r="E95" s="362"/>
      <x:c r="F95" s="362"/>
      <x:c r="G95" s="362"/>
      <x:c r="H95" s="389"/>
      <x:c r="I95" s="281"/>
      <x:c r="J95" s="281"/>
      <x:c r="K95" s="281"/>
      <x:c r="L95" s="281"/>
      <x:c r="M95" s="281"/>
      <x:c r="N95" s="281"/>
      <x:c r="O95" s="281"/>
      <x:c r="P95" s="281"/>
      <x:c r="Q95" s="281"/>
      <x:c r="R95" s="281"/>
      <x:c r="S95" s="281"/>
      <x:c r="T95" s="281"/>
      <x:c r="U95" s="281"/>
      <x:c r="V95" s="281"/>
      <x:c r="W95" s="281"/>
      <x:c r="X95" s="281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396"/>
      <x:c r="B96" s="362"/>
      <x:c r="C96" s="362"/>
      <x:c r="D96" s="364"/>
      <x:c r="E96" s="362"/>
      <x:c r="F96" s="362"/>
      <x:c r="G96" s="362"/>
      <x:c r="H96" s="389"/>
      <x:c r="I96" s="281"/>
      <x:c r="J96" s="281"/>
      <x:c r="K96" s="281"/>
      <x:c r="L96" s="281"/>
      <x:c r="M96" s="281"/>
      <x:c r="N96" s="281"/>
      <x:c r="O96" s="281"/>
      <x:c r="P96" s="281"/>
      <x:c r="Q96" s="281"/>
      <x:c r="R96" s="281"/>
      <x:c r="S96" s="281"/>
      <x:c r="T96" s="281"/>
      <x:c r="U96" s="281"/>
      <x:c r="V96" s="281"/>
      <x:c r="W96" s="281"/>
      <x:c r="X96" s="281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396"/>
      <x:c r="B97" s="362"/>
      <x:c r="C97" s="362"/>
      <x:c r="D97" s="364"/>
      <x:c r="E97" s="362"/>
      <x:c r="F97" s="362"/>
      <x:c r="G97" s="362"/>
      <x:c r="H97" s="389"/>
      <x:c r="I97" s="281"/>
      <x:c r="J97" s="281"/>
      <x:c r="K97" s="281"/>
      <x:c r="L97" s="281"/>
      <x:c r="M97" s="281"/>
      <x:c r="N97" s="281"/>
      <x:c r="O97" s="281"/>
      <x:c r="P97" s="281"/>
      <x:c r="Q97" s="281"/>
      <x:c r="R97" s="281"/>
      <x:c r="S97" s="281"/>
      <x:c r="T97" s="281"/>
      <x:c r="U97" s="281"/>
      <x:c r="V97" s="281"/>
      <x:c r="W97" s="281"/>
      <x:c r="X97" s="281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396"/>
      <x:c r="B98" s="362"/>
      <x:c r="C98" s="362"/>
      <x:c r="D98" s="364"/>
      <x:c r="E98" s="362"/>
      <x:c r="F98" s="362"/>
      <x:c r="G98" s="362"/>
      <x:c r="H98" s="389"/>
      <x:c r="I98" s="281"/>
      <x:c r="J98" s="281"/>
      <x:c r="K98" s="281"/>
      <x:c r="L98" s="281"/>
      <x:c r="M98" s="281"/>
      <x:c r="N98" s="281"/>
      <x:c r="O98" s="281"/>
      <x:c r="P98" s="281"/>
      <x:c r="Q98" s="281"/>
      <x:c r="R98" s="281"/>
      <x:c r="S98" s="281"/>
      <x:c r="T98" s="281"/>
      <x:c r="U98" s="281"/>
      <x:c r="V98" s="281"/>
      <x:c r="W98" s="281"/>
      <x:c r="X98" s="281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396"/>
      <x:c r="B99" s="362"/>
      <x:c r="C99" s="362"/>
      <x:c r="D99" s="364"/>
      <x:c r="E99" s="362"/>
      <x:c r="F99" s="362"/>
      <x:c r="G99" s="362"/>
      <x:c r="H99" s="389"/>
      <x:c r="I99" s="281"/>
      <x:c r="J99" s="281"/>
      <x:c r="K99" s="281"/>
      <x:c r="L99" s="281"/>
      <x:c r="M99" s="281"/>
      <x:c r="N99" s="281"/>
      <x:c r="O99" s="281"/>
      <x:c r="P99" s="281"/>
      <x:c r="Q99" s="281"/>
      <x:c r="R99" s="281"/>
      <x:c r="S99" s="281"/>
      <x:c r="T99" s="281"/>
      <x:c r="U99" s="281"/>
      <x:c r="V99" s="281"/>
      <x:c r="W99" s="281"/>
      <x:c r="X99" s="281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396"/>
      <x:c r="B100" s="362"/>
      <x:c r="C100" s="362"/>
      <x:c r="D100" s="364"/>
      <x:c r="E100" s="362"/>
      <x:c r="F100" s="362"/>
      <x:c r="G100" s="362"/>
      <x:c r="H100" s="389"/>
      <x:c r="I100" s="281"/>
      <x:c r="J100" s="281"/>
      <x:c r="K100" s="281"/>
      <x:c r="L100" s="281"/>
      <x:c r="M100" s="281"/>
      <x:c r="N100" s="281"/>
      <x:c r="O100" s="281"/>
      <x:c r="P100" s="281"/>
      <x:c r="Q100" s="281"/>
      <x:c r="R100" s="281"/>
      <x:c r="S100" s="281"/>
      <x:c r="T100" s="281"/>
      <x:c r="U100" s="281"/>
      <x:c r="V100" s="281"/>
      <x:c r="W100" s="281"/>
      <x:c r="X100" s="281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396"/>
      <x:c r="B101" s="362"/>
      <x:c r="C101" s="362"/>
      <x:c r="D101" s="364"/>
      <x:c r="E101" s="362"/>
      <x:c r="F101" s="362"/>
      <x:c r="G101" s="362"/>
      <x:c r="H101" s="389"/>
      <x:c r="I101" s="281"/>
      <x:c r="J101" s="281"/>
      <x:c r="K101" s="281"/>
      <x:c r="L101" s="281"/>
      <x:c r="M101" s="281"/>
      <x:c r="N101" s="281"/>
      <x:c r="O101" s="281"/>
      <x:c r="P101" s="281"/>
      <x:c r="Q101" s="281"/>
      <x:c r="R101" s="281"/>
      <x:c r="S101" s="281"/>
      <x:c r="T101" s="281"/>
      <x:c r="U101" s="281"/>
      <x:c r="V101" s="281"/>
      <x:c r="W101" s="281"/>
      <x:c r="X101" s="281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396"/>
      <x:c r="B102" s="362"/>
      <x:c r="C102" s="362"/>
      <x:c r="D102" s="364"/>
      <x:c r="E102" s="362"/>
      <x:c r="F102" s="362"/>
      <x:c r="G102" s="362"/>
      <x:c r="H102" s="389"/>
      <x:c r="I102" s="281"/>
      <x:c r="J102" s="281"/>
      <x:c r="K102" s="281"/>
      <x:c r="L102" s="281"/>
      <x:c r="M102" s="281"/>
      <x:c r="N102" s="281"/>
      <x:c r="O102" s="281"/>
      <x:c r="P102" s="281"/>
      <x:c r="Q102" s="281"/>
      <x:c r="R102" s="281"/>
      <x:c r="S102" s="281"/>
      <x:c r="T102" s="281"/>
      <x:c r="U102" s="281"/>
      <x:c r="V102" s="281"/>
      <x:c r="W102" s="281"/>
      <x:c r="X102" s="281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396"/>
      <x:c r="B103" s="362"/>
      <x:c r="C103" s="362"/>
      <x:c r="D103" s="364"/>
      <x:c r="E103" s="362"/>
      <x:c r="F103" s="362"/>
      <x:c r="G103" s="362"/>
      <x:c r="H103" s="389"/>
      <x:c r="I103" s="281"/>
      <x:c r="J103" s="281"/>
      <x:c r="K103" s="281"/>
      <x:c r="L103" s="281"/>
      <x:c r="M103" s="281"/>
      <x:c r="N103" s="281"/>
      <x:c r="O103" s="281"/>
      <x:c r="P103" s="281"/>
      <x:c r="Q103" s="281"/>
      <x:c r="R103" s="281"/>
      <x:c r="S103" s="281"/>
      <x:c r="T103" s="281"/>
      <x:c r="U103" s="281"/>
      <x:c r="V103" s="281"/>
      <x:c r="W103" s="281"/>
      <x:c r="X103" s="281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396"/>
      <x:c r="B104" s="362"/>
      <x:c r="C104" s="362"/>
      <x:c r="D104" s="364"/>
      <x:c r="E104" s="362"/>
      <x:c r="F104" s="362"/>
      <x:c r="G104" s="362"/>
      <x:c r="H104" s="389"/>
      <x:c r="I104" s="281"/>
      <x:c r="J104" s="281"/>
      <x:c r="K104" s="281"/>
      <x:c r="L104" s="281"/>
      <x:c r="M104" s="281"/>
      <x:c r="N104" s="281"/>
      <x:c r="O104" s="281"/>
      <x:c r="P104" s="281"/>
      <x:c r="Q104" s="281"/>
      <x:c r="R104" s="281"/>
      <x:c r="S104" s="281"/>
      <x:c r="T104" s="281"/>
      <x:c r="U104" s="281"/>
      <x:c r="V104" s="281"/>
      <x:c r="W104" s="281"/>
      <x:c r="X104" s="281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396"/>
      <x:c r="B105" s="362"/>
      <x:c r="C105" s="362"/>
      <x:c r="D105" s="364"/>
      <x:c r="E105" s="362"/>
      <x:c r="F105" s="362"/>
      <x:c r="G105" s="362"/>
      <x:c r="H105" s="389"/>
      <x:c r="I105" s="281"/>
      <x:c r="J105" s="281"/>
      <x:c r="K105" s="281"/>
      <x:c r="L105" s="281"/>
      <x:c r="M105" s="281"/>
      <x:c r="N105" s="281"/>
      <x:c r="O105" s="281"/>
      <x:c r="P105" s="281"/>
      <x:c r="Q105" s="281"/>
      <x:c r="R105" s="281"/>
      <x:c r="S105" s="281"/>
      <x:c r="T105" s="281"/>
      <x:c r="U105" s="281"/>
      <x:c r="V105" s="281"/>
      <x:c r="W105" s="281"/>
      <x:c r="X105" s="281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396"/>
      <x:c r="B106" s="362"/>
      <x:c r="C106" s="362"/>
      <x:c r="D106" s="364"/>
      <x:c r="E106" s="362"/>
      <x:c r="F106" s="362"/>
      <x:c r="G106" s="362"/>
      <x:c r="H106" s="389"/>
      <x:c r="I106" s="281"/>
      <x:c r="J106" s="281"/>
      <x:c r="K106" s="281"/>
      <x:c r="L106" s="281"/>
      <x:c r="M106" s="281"/>
      <x:c r="N106" s="281"/>
      <x:c r="O106" s="281"/>
      <x:c r="P106" s="281"/>
      <x:c r="Q106" s="281"/>
      <x:c r="R106" s="281"/>
      <x:c r="S106" s="281"/>
      <x:c r="T106" s="281"/>
      <x:c r="U106" s="281"/>
      <x:c r="V106" s="281"/>
      <x:c r="W106" s="281"/>
      <x:c r="X106" s="281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396"/>
      <x:c r="B107" s="362"/>
      <x:c r="C107" s="362"/>
      <x:c r="D107" s="364"/>
      <x:c r="E107" s="362"/>
      <x:c r="F107" s="362"/>
      <x:c r="G107" s="362"/>
      <x:c r="H107" s="389"/>
      <x:c r="I107" s="281"/>
      <x:c r="J107" s="281"/>
      <x:c r="K107" s="281"/>
      <x:c r="L107" s="281"/>
      <x:c r="M107" s="281"/>
      <x:c r="N107" s="281"/>
      <x:c r="O107" s="281"/>
      <x:c r="P107" s="281"/>
      <x:c r="Q107" s="281"/>
      <x:c r="R107" s="281"/>
      <x:c r="S107" s="281"/>
      <x:c r="T107" s="281"/>
      <x:c r="U107" s="281"/>
      <x:c r="V107" s="281"/>
      <x:c r="W107" s="281"/>
      <x:c r="X107" s="281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396"/>
      <x:c r="B108" s="362"/>
      <x:c r="C108" s="362"/>
      <x:c r="D108" s="364"/>
      <x:c r="E108" s="362"/>
      <x:c r="F108" s="362"/>
      <x:c r="G108" s="362"/>
      <x:c r="H108" s="389"/>
      <x:c r="I108" s="281"/>
      <x:c r="J108" s="281"/>
      <x:c r="K108" s="281"/>
      <x:c r="L108" s="281"/>
      <x:c r="M108" s="281"/>
      <x:c r="N108" s="281"/>
      <x:c r="O108" s="281"/>
      <x:c r="P108" s="281"/>
      <x:c r="Q108" s="281"/>
      <x:c r="R108" s="281"/>
      <x:c r="S108" s="281"/>
      <x:c r="T108" s="281"/>
      <x:c r="U108" s="281"/>
      <x:c r="V108" s="281"/>
      <x:c r="W108" s="281"/>
      <x:c r="X108" s="281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396"/>
      <x:c r="B109" s="362"/>
      <x:c r="C109" s="362"/>
      <x:c r="D109" s="364"/>
      <x:c r="E109" s="362"/>
      <x:c r="F109" s="362"/>
      <x:c r="G109" s="362"/>
      <x:c r="H109" s="389"/>
      <x:c r="I109" s="281"/>
      <x:c r="J109" s="281"/>
      <x:c r="K109" s="281"/>
      <x:c r="L109" s="281"/>
      <x:c r="M109" s="281"/>
      <x:c r="N109" s="281"/>
      <x:c r="O109" s="281"/>
      <x:c r="P109" s="281"/>
      <x:c r="Q109" s="281"/>
      <x:c r="R109" s="281"/>
      <x:c r="S109" s="281"/>
      <x:c r="T109" s="281"/>
      <x:c r="U109" s="281"/>
      <x:c r="V109" s="281"/>
      <x:c r="W109" s="281"/>
      <x:c r="X109" s="281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396"/>
      <x:c r="B110" s="362"/>
      <x:c r="C110" s="362"/>
      <x:c r="D110" s="364"/>
      <x:c r="E110" s="362"/>
      <x:c r="F110" s="362"/>
      <x:c r="G110" s="362"/>
      <x:c r="H110" s="389"/>
      <x:c r="I110" s="281"/>
      <x:c r="J110" s="281"/>
      <x:c r="K110" s="281"/>
      <x:c r="L110" s="281"/>
      <x:c r="M110" s="281"/>
      <x:c r="N110" s="281"/>
      <x:c r="O110" s="281"/>
      <x:c r="P110" s="281"/>
      <x:c r="Q110" s="281"/>
      <x:c r="R110" s="281"/>
      <x:c r="S110" s="281"/>
      <x:c r="T110" s="281"/>
      <x:c r="U110" s="281"/>
      <x:c r="V110" s="281"/>
      <x:c r="W110" s="281"/>
      <x:c r="X110" s="281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396"/>
      <x:c r="B111" s="362"/>
      <x:c r="C111" s="362"/>
      <x:c r="D111" s="364"/>
      <x:c r="E111" s="362"/>
      <x:c r="F111" s="362"/>
      <x:c r="G111" s="362"/>
      <x:c r="H111" s="389"/>
      <x:c r="I111" s="281"/>
      <x:c r="J111" s="281"/>
      <x:c r="K111" s="281"/>
      <x:c r="L111" s="281"/>
      <x:c r="M111" s="281"/>
      <x:c r="N111" s="281"/>
      <x:c r="O111" s="281"/>
      <x:c r="P111" s="281"/>
      <x:c r="Q111" s="281"/>
      <x:c r="R111" s="281"/>
      <x:c r="S111" s="281"/>
      <x:c r="T111" s="281"/>
      <x:c r="U111" s="281"/>
      <x:c r="V111" s="281"/>
      <x:c r="W111" s="281"/>
      <x:c r="X111" s="281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396"/>
      <x:c r="B112" s="362"/>
      <x:c r="C112" s="362"/>
      <x:c r="D112" s="364"/>
      <x:c r="E112" s="362"/>
      <x:c r="F112" s="362"/>
      <x:c r="G112" s="362"/>
      <x:c r="H112" s="389"/>
      <x:c r="I112" s="281"/>
      <x:c r="J112" s="281"/>
      <x:c r="K112" s="281"/>
      <x:c r="L112" s="281"/>
      <x:c r="M112" s="281"/>
      <x:c r="N112" s="281"/>
      <x:c r="O112" s="281"/>
      <x:c r="P112" s="281"/>
      <x:c r="Q112" s="281"/>
      <x:c r="R112" s="281"/>
      <x:c r="S112" s="281"/>
      <x:c r="T112" s="281"/>
      <x:c r="U112" s="281"/>
      <x:c r="V112" s="281"/>
      <x:c r="W112" s="281"/>
      <x:c r="X112" s="281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396"/>
      <x:c r="B113" s="362"/>
      <x:c r="C113" s="362"/>
      <x:c r="D113" s="364"/>
      <x:c r="E113" s="362"/>
      <x:c r="F113" s="362"/>
      <x:c r="G113" s="362"/>
      <x:c r="H113" s="389"/>
      <x:c r="I113" s="281"/>
      <x:c r="J113" s="281"/>
      <x:c r="K113" s="281"/>
      <x:c r="L113" s="281"/>
      <x:c r="M113" s="281"/>
      <x:c r="N113" s="281"/>
      <x:c r="O113" s="281"/>
      <x:c r="P113" s="281"/>
      <x:c r="Q113" s="281"/>
      <x:c r="R113" s="281"/>
      <x:c r="S113" s="281"/>
      <x:c r="T113" s="281"/>
      <x:c r="U113" s="281"/>
      <x:c r="V113" s="281"/>
      <x:c r="W113" s="281"/>
      <x:c r="X113" s="281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396"/>
      <x:c r="B114" s="362"/>
      <x:c r="C114" s="362"/>
      <x:c r="D114" s="364"/>
      <x:c r="E114" s="362"/>
      <x:c r="F114" s="362"/>
      <x:c r="G114" s="362"/>
      <x:c r="H114" s="389"/>
      <x:c r="I114" s="281"/>
      <x:c r="J114" s="281"/>
      <x:c r="K114" s="281"/>
      <x:c r="L114" s="281"/>
      <x:c r="M114" s="281"/>
      <x:c r="N114" s="281"/>
      <x:c r="O114" s="281"/>
      <x:c r="P114" s="281"/>
      <x:c r="Q114" s="281"/>
      <x:c r="R114" s="281"/>
      <x:c r="S114" s="281"/>
      <x:c r="T114" s="281"/>
      <x:c r="U114" s="281"/>
      <x:c r="V114" s="281"/>
      <x:c r="W114" s="281"/>
      <x:c r="X114" s="281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396"/>
      <x:c r="B115" s="362"/>
      <x:c r="C115" s="362"/>
      <x:c r="D115" s="364"/>
      <x:c r="E115" s="362"/>
      <x:c r="F115" s="362"/>
      <x:c r="G115" s="362"/>
      <x:c r="H115" s="389"/>
      <x:c r="I115" s="281"/>
      <x:c r="J115" s="281"/>
      <x:c r="K115" s="281"/>
      <x:c r="L115" s="281"/>
      <x:c r="M115" s="281"/>
      <x:c r="N115" s="281"/>
      <x:c r="O115" s="281"/>
      <x:c r="P115" s="281"/>
      <x:c r="Q115" s="281"/>
      <x:c r="R115" s="281"/>
      <x:c r="S115" s="281"/>
      <x:c r="T115" s="281"/>
      <x:c r="U115" s="281"/>
      <x:c r="V115" s="281"/>
      <x:c r="W115" s="281"/>
      <x:c r="X115" s="281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396"/>
      <x:c r="B116" s="362"/>
      <x:c r="C116" s="362"/>
      <x:c r="D116" s="364"/>
      <x:c r="E116" s="362"/>
      <x:c r="F116" s="362"/>
      <x:c r="G116" s="362"/>
      <x:c r="H116" s="389"/>
      <x:c r="I116" s="281"/>
      <x:c r="J116" s="281"/>
      <x:c r="K116" s="281"/>
      <x:c r="L116" s="281"/>
      <x:c r="M116" s="281"/>
      <x:c r="N116" s="281"/>
      <x:c r="O116" s="281"/>
      <x:c r="P116" s="281"/>
      <x:c r="Q116" s="281"/>
      <x:c r="R116" s="281"/>
      <x:c r="S116" s="281"/>
      <x:c r="T116" s="281"/>
      <x:c r="U116" s="281"/>
      <x:c r="V116" s="281"/>
      <x:c r="W116" s="281"/>
      <x:c r="X116" s="281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396"/>
      <x:c r="B117" s="362"/>
      <x:c r="C117" s="362"/>
      <x:c r="D117" s="364"/>
      <x:c r="E117" s="362"/>
      <x:c r="F117" s="362"/>
      <x:c r="G117" s="362"/>
      <x:c r="H117" s="389"/>
      <x:c r="I117" s="281"/>
      <x:c r="J117" s="281"/>
      <x:c r="K117" s="281"/>
      <x:c r="L117" s="281"/>
      <x:c r="M117" s="281"/>
      <x:c r="N117" s="281"/>
      <x:c r="O117" s="281"/>
      <x:c r="P117" s="281"/>
      <x:c r="Q117" s="281"/>
      <x:c r="R117" s="281"/>
      <x:c r="S117" s="281"/>
      <x:c r="T117" s="281"/>
      <x:c r="U117" s="281"/>
      <x:c r="V117" s="281"/>
      <x:c r="W117" s="281"/>
      <x:c r="X117" s="281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396"/>
      <x:c r="B118" s="362"/>
      <x:c r="C118" s="362"/>
      <x:c r="D118" s="364"/>
      <x:c r="E118" s="362"/>
      <x:c r="F118" s="362"/>
      <x:c r="G118" s="362"/>
      <x:c r="H118" s="389"/>
      <x:c r="I118" s="281"/>
      <x:c r="J118" s="281"/>
      <x:c r="K118" s="281"/>
      <x:c r="L118" s="281"/>
      <x:c r="M118" s="281"/>
      <x:c r="N118" s="281"/>
      <x:c r="O118" s="281"/>
      <x:c r="P118" s="281"/>
      <x:c r="Q118" s="281"/>
      <x:c r="R118" s="281"/>
      <x:c r="S118" s="281"/>
      <x:c r="T118" s="281"/>
      <x:c r="U118" s="281"/>
      <x:c r="V118" s="281"/>
      <x:c r="W118" s="281"/>
      <x:c r="X118" s="281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396"/>
      <x:c r="B119" s="362"/>
      <x:c r="C119" s="362"/>
      <x:c r="D119" s="364"/>
      <x:c r="E119" s="362"/>
      <x:c r="F119" s="362"/>
      <x:c r="G119" s="362"/>
      <x:c r="H119" s="389"/>
      <x:c r="I119" s="281"/>
      <x:c r="J119" s="281"/>
      <x:c r="K119" s="281"/>
      <x:c r="L119" s="281"/>
      <x:c r="M119" s="281"/>
      <x:c r="N119" s="281"/>
      <x:c r="O119" s="281"/>
      <x:c r="P119" s="281"/>
      <x:c r="Q119" s="281"/>
      <x:c r="R119" s="281"/>
      <x:c r="S119" s="281"/>
      <x:c r="T119" s="281"/>
      <x:c r="U119" s="281"/>
      <x:c r="V119" s="281"/>
      <x:c r="W119" s="281"/>
      <x:c r="X119" s="281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396"/>
      <x:c r="B120" s="362"/>
      <x:c r="C120" s="362"/>
      <x:c r="D120" s="364"/>
      <x:c r="E120" s="362"/>
      <x:c r="F120" s="362"/>
      <x:c r="G120" s="362"/>
      <x:c r="H120" s="389"/>
      <x:c r="I120" s="281"/>
      <x:c r="J120" s="281"/>
      <x:c r="K120" s="281"/>
      <x:c r="L120" s="281"/>
      <x:c r="M120" s="281"/>
      <x:c r="N120" s="281"/>
      <x:c r="O120" s="281"/>
      <x:c r="P120" s="281"/>
      <x:c r="Q120" s="281"/>
      <x:c r="R120" s="281"/>
      <x:c r="S120" s="281"/>
      <x:c r="T120" s="281"/>
      <x:c r="U120" s="281"/>
      <x:c r="V120" s="281"/>
      <x:c r="W120" s="281"/>
      <x:c r="X120" s="281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396"/>
      <x:c r="B121" s="362"/>
      <x:c r="C121" s="362"/>
      <x:c r="D121" s="364"/>
      <x:c r="E121" s="362"/>
      <x:c r="F121" s="362"/>
      <x:c r="G121" s="362"/>
      <x:c r="H121" s="389"/>
      <x:c r="I121" s="281"/>
      <x:c r="J121" s="281"/>
      <x:c r="K121" s="281"/>
      <x:c r="L121" s="281"/>
      <x:c r="M121" s="281"/>
      <x:c r="N121" s="281"/>
      <x:c r="O121" s="281"/>
      <x:c r="P121" s="281"/>
      <x:c r="Q121" s="281"/>
      <x:c r="R121" s="281"/>
      <x:c r="S121" s="281"/>
      <x:c r="T121" s="281"/>
      <x:c r="U121" s="281"/>
      <x:c r="V121" s="281"/>
      <x:c r="W121" s="281"/>
      <x:c r="X121" s="281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396"/>
      <x:c r="B122" s="362"/>
      <x:c r="C122" s="362"/>
      <x:c r="D122" s="364"/>
      <x:c r="E122" s="362"/>
      <x:c r="F122" s="362"/>
      <x:c r="G122" s="362"/>
      <x:c r="H122" s="389"/>
      <x:c r="I122" s="281"/>
      <x:c r="J122" s="281"/>
      <x:c r="K122" s="281"/>
      <x:c r="L122" s="281"/>
      <x:c r="M122" s="281"/>
      <x:c r="N122" s="281"/>
      <x:c r="O122" s="281"/>
      <x:c r="P122" s="281"/>
      <x:c r="Q122" s="281"/>
      <x:c r="R122" s="281"/>
      <x:c r="S122" s="281"/>
      <x:c r="T122" s="281"/>
      <x:c r="U122" s="281"/>
      <x:c r="V122" s="281"/>
      <x:c r="W122" s="281"/>
      <x:c r="X122" s="281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396"/>
      <x:c r="B123" s="362"/>
      <x:c r="C123" s="362"/>
      <x:c r="D123" s="364"/>
      <x:c r="E123" s="362"/>
      <x:c r="F123" s="362"/>
      <x:c r="G123" s="362"/>
      <x:c r="H123" s="389"/>
      <x:c r="I123" s="281"/>
      <x:c r="J123" s="281"/>
      <x:c r="K123" s="281"/>
      <x:c r="L123" s="281"/>
      <x:c r="M123" s="281"/>
      <x:c r="N123" s="281"/>
      <x:c r="O123" s="281"/>
      <x:c r="P123" s="281"/>
      <x:c r="Q123" s="281"/>
      <x:c r="R123" s="281"/>
      <x:c r="S123" s="281"/>
      <x:c r="T123" s="281"/>
      <x:c r="U123" s="281"/>
      <x:c r="V123" s="281"/>
      <x:c r="W123" s="281"/>
      <x:c r="X123" s="281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396"/>
      <x:c r="B124" s="362"/>
      <x:c r="C124" s="362"/>
      <x:c r="D124" s="364"/>
      <x:c r="E124" s="362"/>
      <x:c r="F124" s="362"/>
      <x:c r="G124" s="362"/>
      <x:c r="H124" s="389"/>
      <x:c r="I124" s="281"/>
      <x:c r="J124" s="281"/>
      <x:c r="K124" s="281"/>
      <x:c r="L124" s="281"/>
      <x:c r="M124" s="281"/>
      <x:c r="N124" s="281"/>
      <x:c r="O124" s="281"/>
      <x:c r="P124" s="281"/>
      <x:c r="Q124" s="281"/>
      <x:c r="R124" s="281"/>
      <x:c r="S124" s="281"/>
      <x:c r="T124" s="281"/>
      <x:c r="U124" s="281"/>
      <x:c r="V124" s="281"/>
      <x:c r="W124" s="281"/>
      <x:c r="X124" s="281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396"/>
      <x:c r="B125" s="362"/>
      <x:c r="C125" s="362"/>
      <x:c r="D125" s="364"/>
      <x:c r="E125" s="362"/>
      <x:c r="F125" s="362"/>
      <x:c r="G125" s="362"/>
      <x:c r="H125" s="389"/>
      <x:c r="I125" s="281"/>
      <x:c r="J125" s="281"/>
      <x:c r="K125" s="281"/>
      <x:c r="L125" s="281"/>
      <x:c r="M125" s="281"/>
      <x:c r="N125" s="281"/>
      <x:c r="O125" s="281"/>
      <x:c r="P125" s="281"/>
      <x:c r="Q125" s="281"/>
      <x:c r="R125" s="281"/>
      <x:c r="S125" s="281"/>
      <x:c r="T125" s="281"/>
      <x:c r="U125" s="281"/>
      <x:c r="V125" s="281"/>
      <x:c r="W125" s="281"/>
      <x:c r="X125" s="281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396"/>
      <x:c r="B126" s="362"/>
      <x:c r="C126" s="362"/>
      <x:c r="D126" s="364"/>
      <x:c r="E126" s="362"/>
      <x:c r="F126" s="362"/>
      <x:c r="G126" s="362"/>
      <x:c r="H126" s="389"/>
      <x:c r="I126" s="281"/>
      <x:c r="J126" s="281"/>
      <x:c r="K126" s="281"/>
      <x:c r="L126" s="281"/>
      <x:c r="M126" s="281"/>
      <x:c r="N126" s="281"/>
      <x:c r="O126" s="281"/>
      <x:c r="P126" s="281"/>
      <x:c r="Q126" s="281"/>
      <x:c r="R126" s="281"/>
      <x:c r="S126" s="281"/>
      <x:c r="T126" s="281"/>
      <x:c r="U126" s="281"/>
      <x:c r="V126" s="281"/>
      <x:c r="W126" s="281"/>
      <x:c r="X126" s="281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396"/>
      <x:c r="B127" s="362"/>
      <x:c r="C127" s="362"/>
      <x:c r="D127" s="364"/>
      <x:c r="E127" s="362"/>
      <x:c r="F127" s="362"/>
      <x:c r="G127" s="362"/>
      <x:c r="H127" s="389"/>
      <x:c r="I127" s="281"/>
      <x:c r="J127" s="281"/>
      <x:c r="K127" s="281"/>
      <x:c r="L127" s="281"/>
      <x:c r="M127" s="281"/>
      <x:c r="N127" s="281"/>
      <x:c r="O127" s="281"/>
      <x:c r="P127" s="281"/>
      <x:c r="Q127" s="281"/>
      <x:c r="R127" s="281"/>
      <x:c r="S127" s="281"/>
      <x:c r="T127" s="281"/>
      <x:c r="U127" s="281"/>
      <x:c r="V127" s="281"/>
      <x:c r="W127" s="281"/>
      <x:c r="X127" s="281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396"/>
      <x:c r="B128" s="362"/>
      <x:c r="C128" s="362"/>
      <x:c r="D128" s="364"/>
      <x:c r="E128" s="362"/>
      <x:c r="F128" s="362"/>
      <x:c r="G128" s="362"/>
      <x:c r="H128" s="389"/>
      <x:c r="I128" s="281"/>
      <x:c r="J128" s="281"/>
      <x:c r="K128" s="281"/>
      <x:c r="L128" s="281"/>
      <x:c r="M128" s="281"/>
      <x:c r="N128" s="281"/>
      <x:c r="O128" s="281"/>
      <x:c r="P128" s="281"/>
      <x:c r="Q128" s="281"/>
      <x:c r="R128" s="281"/>
      <x:c r="S128" s="281"/>
      <x:c r="T128" s="281"/>
      <x:c r="U128" s="281"/>
      <x:c r="V128" s="281"/>
      <x:c r="W128" s="281"/>
      <x:c r="X128" s="281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396"/>
      <x:c r="B129" s="362"/>
      <x:c r="C129" s="362"/>
      <x:c r="D129" s="364"/>
      <x:c r="E129" s="362"/>
      <x:c r="F129" s="362"/>
      <x:c r="G129" s="362"/>
      <x:c r="H129" s="389"/>
      <x:c r="I129" s="281"/>
      <x:c r="J129" s="281"/>
      <x:c r="K129" s="281"/>
      <x:c r="L129" s="281"/>
      <x:c r="M129" s="281"/>
      <x:c r="N129" s="281"/>
      <x:c r="O129" s="281"/>
      <x:c r="P129" s="281"/>
      <x:c r="Q129" s="281"/>
      <x:c r="R129" s="281"/>
      <x:c r="S129" s="281"/>
      <x:c r="T129" s="281"/>
      <x:c r="U129" s="281"/>
      <x:c r="V129" s="281"/>
      <x:c r="W129" s="281"/>
      <x:c r="X129" s="281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396"/>
      <x:c r="B130" s="362"/>
      <x:c r="C130" s="362"/>
      <x:c r="D130" s="364"/>
      <x:c r="E130" s="362"/>
      <x:c r="F130" s="362"/>
      <x:c r="G130" s="362"/>
      <x:c r="H130" s="389"/>
      <x:c r="I130" s="281"/>
      <x:c r="J130" s="281"/>
      <x:c r="K130" s="281"/>
      <x:c r="L130" s="281"/>
      <x:c r="M130" s="281"/>
      <x:c r="N130" s="281"/>
      <x:c r="O130" s="281"/>
      <x:c r="P130" s="281"/>
      <x:c r="Q130" s="281"/>
      <x:c r="R130" s="281"/>
      <x:c r="S130" s="281"/>
      <x:c r="T130" s="281"/>
      <x:c r="U130" s="281"/>
      <x:c r="V130" s="281"/>
      <x:c r="W130" s="281"/>
      <x:c r="X130" s="281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396"/>
      <x:c r="B131" s="362"/>
      <x:c r="C131" s="362"/>
      <x:c r="D131" s="364"/>
      <x:c r="E131" s="362"/>
      <x:c r="F131" s="362"/>
      <x:c r="G131" s="362"/>
      <x:c r="H131" s="389"/>
      <x:c r="I131" s="281"/>
      <x:c r="J131" s="281"/>
      <x:c r="K131" s="281"/>
      <x:c r="L131" s="281"/>
      <x:c r="M131" s="281"/>
      <x:c r="N131" s="281"/>
      <x:c r="O131" s="281"/>
      <x:c r="P131" s="281"/>
      <x:c r="Q131" s="281"/>
      <x:c r="R131" s="281"/>
      <x:c r="S131" s="281"/>
      <x:c r="T131" s="281"/>
      <x:c r="U131" s="281"/>
      <x:c r="V131" s="281"/>
      <x:c r="W131" s="281"/>
      <x:c r="X131" s="281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396"/>
      <x:c r="B132" s="362"/>
      <x:c r="C132" s="362"/>
      <x:c r="D132" s="364"/>
      <x:c r="E132" s="362"/>
      <x:c r="F132" s="362"/>
      <x:c r="G132" s="362"/>
      <x:c r="H132" s="389"/>
      <x:c r="I132" s="281"/>
      <x:c r="J132" s="281"/>
      <x:c r="K132" s="281"/>
      <x:c r="L132" s="281"/>
      <x:c r="M132" s="281"/>
      <x:c r="N132" s="281"/>
      <x:c r="O132" s="281"/>
      <x:c r="P132" s="281"/>
      <x:c r="Q132" s="281"/>
      <x:c r="R132" s="281"/>
      <x:c r="S132" s="281"/>
      <x:c r="T132" s="281"/>
      <x:c r="U132" s="281"/>
      <x:c r="V132" s="281"/>
      <x:c r="W132" s="281"/>
      <x:c r="X132" s="281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396"/>
      <x:c r="B133" s="362"/>
      <x:c r="C133" s="362"/>
      <x:c r="D133" s="364"/>
      <x:c r="E133" s="362"/>
      <x:c r="F133" s="362"/>
      <x:c r="G133" s="362"/>
      <x:c r="H133" s="389"/>
      <x:c r="I133" s="281"/>
      <x:c r="J133" s="281"/>
      <x:c r="K133" s="281"/>
      <x:c r="L133" s="281"/>
      <x:c r="M133" s="281"/>
      <x:c r="N133" s="281"/>
      <x:c r="O133" s="281"/>
      <x:c r="P133" s="281"/>
      <x:c r="Q133" s="281"/>
      <x:c r="R133" s="281"/>
      <x:c r="S133" s="281"/>
      <x:c r="T133" s="281"/>
      <x:c r="U133" s="281"/>
      <x:c r="V133" s="281"/>
      <x:c r="W133" s="281"/>
      <x:c r="X133" s="281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396"/>
      <x:c r="B134" s="362"/>
      <x:c r="C134" s="362"/>
      <x:c r="D134" s="364"/>
      <x:c r="E134" s="362"/>
      <x:c r="F134" s="362"/>
      <x:c r="G134" s="362"/>
      <x:c r="H134" s="389"/>
      <x:c r="I134" s="281"/>
      <x:c r="J134" s="281"/>
      <x:c r="K134" s="281"/>
      <x:c r="L134" s="281"/>
      <x:c r="M134" s="281"/>
      <x:c r="N134" s="281"/>
      <x:c r="O134" s="281"/>
      <x:c r="P134" s="281"/>
      <x:c r="Q134" s="281"/>
      <x:c r="R134" s="281"/>
      <x:c r="S134" s="281"/>
      <x:c r="T134" s="281"/>
      <x:c r="U134" s="281"/>
      <x:c r="V134" s="281"/>
      <x:c r="W134" s="281"/>
      <x:c r="X134" s="281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396"/>
      <x:c r="B135" s="362"/>
      <x:c r="C135" s="362"/>
      <x:c r="D135" s="364"/>
      <x:c r="E135" s="362"/>
      <x:c r="F135" s="362"/>
      <x:c r="G135" s="362"/>
      <x:c r="H135" s="389"/>
      <x:c r="I135" s="281"/>
      <x:c r="J135" s="281"/>
      <x:c r="K135" s="281"/>
      <x:c r="L135" s="281"/>
      <x:c r="M135" s="281"/>
      <x:c r="N135" s="281"/>
      <x:c r="O135" s="281"/>
      <x:c r="P135" s="281"/>
      <x:c r="Q135" s="281"/>
      <x:c r="R135" s="281"/>
      <x:c r="S135" s="281"/>
      <x:c r="T135" s="281"/>
      <x:c r="U135" s="281"/>
      <x:c r="V135" s="281"/>
      <x:c r="W135" s="281"/>
      <x:c r="X135" s="281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396"/>
      <x:c r="B136" s="362"/>
      <x:c r="C136" s="362"/>
      <x:c r="D136" s="364"/>
      <x:c r="E136" s="362"/>
      <x:c r="F136" s="362"/>
      <x:c r="G136" s="362"/>
      <x:c r="H136" s="389"/>
      <x:c r="I136" s="281"/>
      <x:c r="J136" s="281"/>
      <x:c r="K136" s="281"/>
      <x:c r="L136" s="281"/>
      <x:c r="M136" s="281"/>
      <x:c r="N136" s="281"/>
      <x:c r="O136" s="281"/>
      <x:c r="P136" s="281"/>
      <x:c r="Q136" s="281"/>
      <x:c r="R136" s="281"/>
      <x:c r="S136" s="281"/>
      <x:c r="T136" s="281"/>
      <x:c r="U136" s="281"/>
      <x:c r="V136" s="281"/>
      <x:c r="W136" s="281"/>
      <x:c r="X136" s="281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396"/>
      <x:c r="B137" s="362"/>
      <x:c r="C137" s="362"/>
      <x:c r="D137" s="364"/>
      <x:c r="E137" s="362"/>
      <x:c r="F137" s="362"/>
      <x:c r="G137" s="362"/>
      <x:c r="H137" s="389"/>
      <x:c r="I137" s="281"/>
      <x:c r="J137" s="281"/>
      <x:c r="K137" s="281"/>
      <x:c r="L137" s="281"/>
      <x:c r="M137" s="281"/>
      <x:c r="N137" s="281"/>
      <x:c r="O137" s="281"/>
      <x:c r="P137" s="281"/>
      <x:c r="Q137" s="281"/>
      <x:c r="R137" s="281"/>
      <x:c r="S137" s="281"/>
      <x:c r="T137" s="281"/>
      <x:c r="U137" s="281"/>
      <x:c r="V137" s="281"/>
      <x:c r="W137" s="281"/>
      <x:c r="X137" s="281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396"/>
      <x:c r="B138" s="362"/>
      <x:c r="C138" s="362"/>
      <x:c r="D138" s="364"/>
      <x:c r="E138" s="362"/>
      <x:c r="F138" s="362"/>
      <x:c r="G138" s="362"/>
      <x:c r="H138" s="389"/>
      <x:c r="I138" s="281"/>
      <x:c r="J138" s="281"/>
      <x:c r="K138" s="281"/>
      <x:c r="L138" s="281"/>
      <x:c r="M138" s="281"/>
      <x:c r="N138" s="281"/>
      <x:c r="O138" s="281"/>
      <x:c r="P138" s="281"/>
      <x:c r="Q138" s="281"/>
      <x:c r="R138" s="281"/>
      <x:c r="S138" s="281"/>
      <x:c r="T138" s="281"/>
      <x:c r="U138" s="281"/>
      <x:c r="V138" s="281"/>
      <x:c r="W138" s="281"/>
      <x:c r="X138" s="281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396"/>
      <x:c r="B139" s="362"/>
      <x:c r="C139" s="362"/>
      <x:c r="D139" s="364"/>
      <x:c r="E139" s="362"/>
      <x:c r="F139" s="362"/>
      <x:c r="G139" s="362"/>
      <x:c r="H139" s="389"/>
      <x:c r="I139" s="281"/>
      <x:c r="J139" s="281"/>
      <x:c r="K139" s="281"/>
      <x:c r="L139" s="281"/>
      <x:c r="M139" s="281"/>
      <x:c r="N139" s="281"/>
      <x:c r="O139" s="281"/>
      <x:c r="P139" s="281"/>
      <x:c r="Q139" s="281"/>
      <x:c r="R139" s="281"/>
      <x:c r="S139" s="281"/>
      <x:c r="T139" s="281"/>
      <x:c r="U139" s="281"/>
      <x:c r="V139" s="281"/>
      <x:c r="W139" s="281"/>
      <x:c r="X139" s="281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396"/>
      <x:c r="B140" s="362"/>
      <x:c r="C140" s="362"/>
      <x:c r="D140" s="364"/>
      <x:c r="E140" s="362"/>
      <x:c r="F140" s="362"/>
      <x:c r="G140" s="362"/>
      <x:c r="H140" s="389"/>
      <x:c r="I140" s="281"/>
      <x:c r="J140" s="281"/>
      <x:c r="K140" s="281"/>
      <x:c r="L140" s="281"/>
      <x:c r="M140" s="281"/>
      <x:c r="N140" s="281"/>
      <x:c r="O140" s="281"/>
      <x:c r="P140" s="281"/>
      <x:c r="Q140" s="281"/>
      <x:c r="R140" s="281"/>
      <x:c r="S140" s="281"/>
      <x:c r="T140" s="281"/>
      <x:c r="U140" s="281"/>
      <x:c r="V140" s="281"/>
      <x:c r="W140" s="281"/>
      <x:c r="X140" s="281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396"/>
      <x:c r="B141" s="362"/>
      <x:c r="C141" s="362"/>
      <x:c r="D141" s="364"/>
      <x:c r="E141" s="362"/>
      <x:c r="F141" s="362"/>
      <x:c r="G141" s="362"/>
      <x:c r="H141" s="389"/>
      <x:c r="I141" s="281"/>
      <x:c r="J141" s="281"/>
      <x:c r="K141" s="281"/>
      <x:c r="L141" s="281"/>
      <x:c r="M141" s="281"/>
      <x:c r="N141" s="281"/>
      <x:c r="O141" s="281"/>
      <x:c r="P141" s="281"/>
      <x:c r="Q141" s="281"/>
      <x:c r="R141" s="281"/>
      <x:c r="S141" s="281"/>
      <x:c r="T141" s="281"/>
      <x:c r="U141" s="281"/>
      <x:c r="V141" s="281"/>
      <x:c r="W141" s="281"/>
      <x:c r="X141" s="281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396"/>
      <x:c r="B142" s="362"/>
      <x:c r="C142" s="362"/>
      <x:c r="D142" s="364"/>
      <x:c r="E142" s="362"/>
      <x:c r="F142" s="362"/>
      <x:c r="G142" s="362"/>
      <x:c r="H142" s="389"/>
      <x:c r="I142" s="281"/>
      <x:c r="J142" s="281"/>
      <x:c r="K142" s="281"/>
      <x:c r="L142" s="281"/>
      <x:c r="M142" s="281"/>
      <x:c r="N142" s="281"/>
      <x:c r="O142" s="281"/>
      <x:c r="P142" s="281"/>
      <x:c r="Q142" s="281"/>
      <x:c r="R142" s="281"/>
      <x:c r="S142" s="281"/>
      <x:c r="T142" s="281"/>
      <x:c r="U142" s="281"/>
      <x:c r="V142" s="281"/>
      <x:c r="W142" s="281"/>
      <x:c r="X142" s="281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396"/>
      <x:c r="B143" s="362"/>
      <x:c r="C143" s="362"/>
      <x:c r="D143" s="364"/>
      <x:c r="E143" s="362"/>
      <x:c r="F143" s="362"/>
      <x:c r="G143" s="362"/>
      <x:c r="H143" s="389"/>
      <x:c r="I143" s="281"/>
      <x:c r="J143" s="281"/>
      <x:c r="K143" s="281"/>
      <x:c r="L143" s="281"/>
      <x:c r="M143" s="281"/>
      <x:c r="N143" s="281"/>
      <x:c r="O143" s="281"/>
      <x:c r="P143" s="281"/>
      <x:c r="Q143" s="281"/>
      <x:c r="R143" s="281"/>
      <x:c r="S143" s="281"/>
      <x:c r="T143" s="281"/>
      <x:c r="U143" s="281"/>
      <x:c r="V143" s="281"/>
      <x:c r="W143" s="281"/>
      <x:c r="X143" s="281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396"/>
      <x:c r="B144" s="362"/>
      <x:c r="C144" s="362"/>
      <x:c r="D144" s="364"/>
      <x:c r="E144" s="362"/>
      <x:c r="F144" s="362"/>
      <x:c r="G144" s="362"/>
      <x:c r="H144" s="389"/>
      <x:c r="I144" s="281"/>
      <x:c r="J144" s="281"/>
      <x:c r="K144" s="281"/>
      <x:c r="L144" s="281"/>
      <x:c r="M144" s="281"/>
      <x:c r="N144" s="281"/>
      <x:c r="O144" s="281"/>
      <x:c r="P144" s="281"/>
      <x:c r="Q144" s="281"/>
      <x:c r="R144" s="281"/>
      <x:c r="S144" s="281"/>
      <x:c r="T144" s="281"/>
      <x:c r="U144" s="281"/>
      <x:c r="V144" s="281"/>
      <x:c r="W144" s="281"/>
      <x:c r="X144" s="281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396"/>
      <x:c r="B145" s="362"/>
      <x:c r="C145" s="362"/>
      <x:c r="D145" s="364"/>
      <x:c r="E145" s="362"/>
      <x:c r="F145" s="362"/>
      <x:c r="G145" s="362"/>
      <x:c r="H145" s="389"/>
      <x:c r="I145" s="281"/>
      <x:c r="J145" s="281"/>
      <x:c r="K145" s="281"/>
      <x:c r="L145" s="281"/>
      <x:c r="M145" s="281"/>
      <x:c r="N145" s="281"/>
      <x:c r="O145" s="281"/>
      <x:c r="P145" s="281"/>
      <x:c r="Q145" s="281"/>
      <x:c r="R145" s="281"/>
      <x:c r="S145" s="281"/>
      <x:c r="T145" s="281"/>
      <x:c r="U145" s="281"/>
      <x:c r="V145" s="281"/>
      <x:c r="W145" s="281"/>
      <x:c r="X145" s="281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396"/>
      <x:c r="B146" s="362"/>
      <x:c r="C146" s="362"/>
      <x:c r="D146" s="364"/>
      <x:c r="E146" s="362"/>
      <x:c r="F146" s="362"/>
      <x:c r="G146" s="362"/>
      <x:c r="H146" s="389"/>
      <x:c r="I146" s="281"/>
      <x:c r="J146" s="281"/>
      <x:c r="K146" s="281"/>
      <x:c r="L146" s="281"/>
      <x:c r="M146" s="281"/>
      <x:c r="N146" s="281"/>
      <x:c r="O146" s="281"/>
      <x:c r="P146" s="281"/>
      <x:c r="Q146" s="281"/>
      <x:c r="R146" s="281"/>
      <x:c r="S146" s="281"/>
      <x:c r="T146" s="281"/>
      <x:c r="U146" s="281"/>
      <x:c r="V146" s="281"/>
      <x:c r="W146" s="281"/>
      <x:c r="X146" s="281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396"/>
      <x:c r="B147" s="362"/>
      <x:c r="C147" s="362"/>
      <x:c r="D147" s="364"/>
      <x:c r="E147" s="362"/>
      <x:c r="F147" s="362"/>
      <x:c r="G147" s="362"/>
      <x:c r="H147" s="389"/>
      <x:c r="I147" s="281"/>
      <x:c r="J147" s="281"/>
      <x:c r="K147" s="281"/>
      <x:c r="L147" s="281"/>
      <x:c r="M147" s="281"/>
      <x:c r="N147" s="281"/>
      <x:c r="O147" s="281"/>
      <x:c r="P147" s="281"/>
      <x:c r="Q147" s="281"/>
      <x:c r="R147" s="281"/>
      <x:c r="S147" s="281"/>
      <x:c r="T147" s="281"/>
      <x:c r="U147" s="281"/>
      <x:c r="V147" s="281"/>
      <x:c r="W147" s="281"/>
      <x:c r="X147" s="281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396"/>
      <x:c r="B148" s="362"/>
      <x:c r="C148" s="362"/>
      <x:c r="D148" s="364"/>
      <x:c r="E148" s="362"/>
      <x:c r="F148" s="362"/>
      <x:c r="G148" s="362"/>
      <x:c r="H148" s="389"/>
      <x:c r="I148" s="281"/>
      <x:c r="J148" s="281"/>
      <x:c r="K148" s="281"/>
      <x:c r="L148" s="281"/>
      <x:c r="M148" s="281"/>
      <x:c r="N148" s="281"/>
      <x:c r="O148" s="281"/>
      <x:c r="P148" s="281"/>
      <x:c r="Q148" s="281"/>
      <x:c r="R148" s="281"/>
      <x:c r="S148" s="281"/>
      <x:c r="T148" s="281"/>
      <x:c r="U148" s="281"/>
      <x:c r="V148" s="281"/>
      <x:c r="W148" s="281"/>
      <x:c r="X148" s="281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396"/>
      <x:c r="B149" s="362"/>
      <x:c r="C149" s="362"/>
      <x:c r="D149" s="364"/>
      <x:c r="E149" s="362"/>
      <x:c r="F149" s="362"/>
      <x:c r="G149" s="362"/>
      <x:c r="H149" s="389"/>
      <x:c r="I149" s="281"/>
      <x:c r="J149" s="281"/>
      <x:c r="K149" s="281"/>
      <x:c r="L149" s="281"/>
      <x:c r="M149" s="281"/>
      <x:c r="N149" s="281"/>
      <x:c r="O149" s="281"/>
      <x:c r="P149" s="281"/>
      <x:c r="Q149" s="281"/>
      <x:c r="R149" s="281"/>
      <x:c r="S149" s="281"/>
      <x:c r="T149" s="281"/>
      <x:c r="U149" s="281"/>
      <x:c r="V149" s="281"/>
      <x:c r="W149" s="281"/>
      <x:c r="X149" s="281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396"/>
      <x:c r="B150" s="362"/>
      <x:c r="C150" s="362"/>
      <x:c r="D150" s="364"/>
      <x:c r="E150" s="362"/>
      <x:c r="F150" s="362"/>
      <x:c r="G150" s="362"/>
      <x:c r="H150" s="389"/>
      <x:c r="I150" s="281"/>
      <x:c r="J150" s="281"/>
      <x:c r="K150" s="281"/>
      <x:c r="L150" s="281"/>
      <x:c r="M150" s="281"/>
      <x:c r="N150" s="281"/>
      <x:c r="O150" s="281"/>
      <x:c r="P150" s="281"/>
      <x:c r="Q150" s="281"/>
      <x:c r="R150" s="281"/>
      <x:c r="S150" s="281"/>
      <x:c r="T150" s="281"/>
      <x:c r="U150" s="281"/>
      <x:c r="V150" s="281"/>
      <x:c r="W150" s="281"/>
      <x:c r="X150" s="281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396"/>
      <x:c r="B151" s="362"/>
      <x:c r="C151" s="362"/>
      <x:c r="D151" s="364"/>
      <x:c r="E151" s="362"/>
      <x:c r="F151" s="362"/>
      <x:c r="G151" s="362"/>
      <x:c r="H151" s="389"/>
      <x:c r="I151" s="281"/>
      <x:c r="J151" s="281"/>
      <x:c r="K151" s="281"/>
      <x:c r="L151" s="281"/>
      <x:c r="M151" s="281"/>
      <x:c r="N151" s="281"/>
      <x:c r="O151" s="281"/>
      <x:c r="P151" s="281"/>
      <x:c r="Q151" s="281"/>
      <x:c r="R151" s="281"/>
      <x:c r="S151" s="281"/>
      <x:c r="T151" s="281"/>
      <x:c r="U151" s="281"/>
      <x:c r="V151" s="281"/>
      <x:c r="W151" s="281"/>
      <x:c r="X151" s="281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396"/>
      <x:c r="B152" s="362"/>
      <x:c r="C152" s="362"/>
      <x:c r="D152" s="364"/>
      <x:c r="E152" s="362"/>
      <x:c r="F152" s="362"/>
      <x:c r="G152" s="362"/>
      <x:c r="H152" s="389"/>
      <x:c r="I152" s="281"/>
      <x:c r="J152" s="281"/>
      <x:c r="K152" s="281"/>
      <x:c r="L152" s="281"/>
      <x:c r="M152" s="281"/>
      <x:c r="N152" s="281"/>
      <x:c r="O152" s="281"/>
      <x:c r="P152" s="281"/>
      <x:c r="Q152" s="281"/>
      <x:c r="R152" s="281"/>
      <x:c r="S152" s="281"/>
      <x:c r="T152" s="281"/>
      <x:c r="U152" s="281"/>
      <x:c r="V152" s="281"/>
      <x:c r="W152" s="281"/>
      <x:c r="X152" s="281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396"/>
      <x:c r="B153" s="362"/>
      <x:c r="C153" s="362"/>
      <x:c r="D153" s="364"/>
      <x:c r="E153" s="362"/>
      <x:c r="F153" s="362"/>
      <x:c r="G153" s="362"/>
      <x:c r="H153" s="389"/>
      <x:c r="I153" s="281"/>
      <x:c r="J153" s="281"/>
      <x:c r="K153" s="281"/>
      <x:c r="L153" s="281"/>
      <x:c r="M153" s="281"/>
      <x:c r="N153" s="281"/>
      <x:c r="O153" s="281"/>
      <x:c r="P153" s="281"/>
      <x:c r="Q153" s="281"/>
      <x:c r="R153" s="281"/>
      <x:c r="S153" s="281"/>
      <x:c r="T153" s="281"/>
      <x:c r="U153" s="281"/>
      <x:c r="V153" s="281"/>
      <x:c r="W153" s="281"/>
      <x:c r="X153" s="281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396"/>
      <x:c r="B154" s="362"/>
      <x:c r="C154" s="362"/>
      <x:c r="D154" s="364"/>
      <x:c r="E154" s="362"/>
      <x:c r="F154" s="362"/>
      <x:c r="G154" s="362"/>
      <x:c r="H154" s="389"/>
      <x:c r="I154" s="281"/>
      <x:c r="J154" s="281"/>
      <x:c r="K154" s="281"/>
      <x:c r="L154" s="281"/>
      <x:c r="M154" s="281"/>
      <x:c r="N154" s="281"/>
      <x:c r="O154" s="281"/>
      <x:c r="P154" s="281"/>
      <x:c r="Q154" s="281"/>
      <x:c r="R154" s="281"/>
      <x:c r="S154" s="281"/>
      <x:c r="T154" s="281"/>
      <x:c r="U154" s="281"/>
      <x:c r="V154" s="281"/>
      <x:c r="W154" s="281"/>
      <x:c r="X154" s="281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396"/>
      <x:c r="B155" s="362"/>
      <x:c r="C155" s="362"/>
      <x:c r="D155" s="364"/>
      <x:c r="E155" s="362"/>
      <x:c r="F155" s="362"/>
      <x:c r="G155" s="362"/>
      <x:c r="H155" s="389"/>
      <x:c r="I155" s="281"/>
      <x:c r="J155" s="281"/>
      <x:c r="K155" s="281"/>
      <x:c r="L155" s="281"/>
      <x:c r="M155" s="281"/>
      <x:c r="N155" s="281"/>
      <x:c r="O155" s="281"/>
      <x:c r="P155" s="281"/>
      <x:c r="Q155" s="281"/>
      <x:c r="R155" s="281"/>
      <x:c r="S155" s="281"/>
      <x:c r="T155" s="281"/>
      <x:c r="U155" s="281"/>
      <x:c r="V155" s="281"/>
      <x:c r="W155" s="281"/>
      <x:c r="X155" s="281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396"/>
      <x:c r="B156" s="362"/>
      <x:c r="C156" s="362"/>
      <x:c r="D156" s="364"/>
      <x:c r="E156" s="362"/>
      <x:c r="F156" s="362"/>
      <x:c r="G156" s="362"/>
      <x:c r="H156" s="389"/>
      <x:c r="I156" s="281"/>
      <x:c r="J156" s="281"/>
      <x:c r="K156" s="281"/>
      <x:c r="L156" s="281"/>
      <x:c r="M156" s="281"/>
      <x:c r="N156" s="281"/>
      <x:c r="O156" s="281"/>
      <x:c r="P156" s="281"/>
      <x:c r="Q156" s="281"/>
      <x:c r="R156" s="281"/>
      <x:c r="S156" s="281"/>
      <x:c r="T156" s="281"/>
      <x:c r="U156" s="281"/>
      <x:c r="V156" s="281"/>
      <x:c r="W156" s="281"/>
      <x:c r="X156" s="281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396"/>
      <x:c r="B157" s="362"/>
      <x:c r="C157" s="362"/>
      <x:c r="D157" s="364"/>
      <x:c r="E157" s="362"/>
      <x:c r="F157" s="362"/>
      <x:c r="G157" s="362"/>
      <x:c r="H157" s="389"/>
      <x:c r="I157" s="281"/>
      <x:c r="J157" s="281"/>
      <x:c r="K157" s="281"/>
      <x:c r="L157" s="281"/>
      <x:c r="M157" s="281"/>
      <x:c r="N157" s="281"/>
      <x:c r="O157" s="281"/>
      <x:c r="P157" s="281"/>
      <x:c r="Q157" s="281"/>
      <x:c r="R157" s="281"/>
      <x:c r="S157" s="281"/>
      <x:c r="T157" s="281"/>
      <x:c r="U157" s="281"/>
      <x:c r="V157" s="281"/>
      <x:c r="W157" s="281"/>
      <x:c r="X157" s="281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396"/>
      <x:c r="B158" s="362"/>
      <x:c r="C158" s="362"/>
      <x:c r="D158" s="364"/>
      <x:c r="E158" s="362"/>
      <x:c r="F158" s="362"/>
      <x:c r="G158" s="362"/>
      <x:c r="H158" s="389"/>
      <x:c r="I158" s="281"/>
      <x:c r="J158" s="281"/>
      <x:c r="K158" s="281"/>
      <x:c r="L158" s="281"/>
      <x:c r="M158" s="281"/>
      <x:c r="N158" s="281"/>
      <x:c r="O158" s="281"/>
      <x:c r="P158" s="281"/>
      <x:c r="Q158" s="281"/>
      <x:c r="R158" s="281"/>
      <x:c r="S158" s="281"/>
      <x:c r="T158" s="281"/>
      <x:c r="U158" s="281"/>
      <x:c r="V158" s="281"/>
      <x:c r="W158" s="281"/>
      <x:c r="X158" s="281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396"/>
      <x:c r="B159" s="362"/>
      <x:c r="C159" s="362"/>
      <x:c r="D159" s="364"/>
      <x:c r="E159" s="362"/>
      <x:c r="F159" s="362"/>
      <x:c r="G159" s="362"/>
      <x:c r="H159" s="389"/>
      <x:c r="I159" s="281"/>
      <x:c r="J159" s="281"/>
      <x:c r="K159" s="281"/>
      <x:c r="L159" s="281"/>
      <x:c r="M159" s="281"/>
      <x:c r="N159" s="281"/>
      <x:c r="O159" s="281"/>
      <x:c r="P159" s="281"/>
      <x:c r="Q159" s="281"/>
      <x:c r="R159" s="281"/>
      <x:c r="S159" s="281"/>
      <x:c r="T159" s="281"/>
      <x:c r="U159" s="281"/>
      <x:c r="V159" s="281"/>
      <x:c r="W159" s="281"/>
      <x:c r="X159" s="281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396"/>
      <x:c r="B160" s="362"/>
      <x:c r="C160" s="362"/>
      <x:c r="D160" s="364"/>
      <x:c r="E160" s="362"/>
      <x:c r="F160" s="362"/>
      <x:c r="G160" s="362"/>
      <x:c r="H160" s="389"/>
      <x:c r="I160" s="281"/>
      <x:c r="J160" s="281"/>
      <x:c r="K160" s="281"/>
      <x:c r="L160" s="281"/>
      <x:c r="M160" s="281"/>
      <x:c r="N160" s="281"/>
      <x:c r="O160" s="281"/>
      <x:c r="P160" s="281"/>
      <x:c r="Q160" s="281"/>
      <x:c r="R160" s="281"/>
      <x:c r="S160" s="281"/>
      <x:c r="T160" s="281"/>
      <x:c r="U160" s="281"/>
      <x:c r="V160" s="281"/>
      <x:c r="W160" s="281"/>
      <x:c r="X160" s="281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396"/>
      <x:c r="B161" s="362"/>
      <x:c r="C161" s="362"/>
      <x:c r="D161" s="364"/>
      <x:c r="E161" s="362"/>
      <x:c r="F161" s="362"/>
      <x:c r="G161" s="362"/>
      <x:c r="H161" s="389"/>
      <x:c r="I161" s="281"/>
      <x:c r="J161" s="281"/>
      <x:c r="K161" s="281"/>
      <x:c r="L161" s="281"/>
      <x:c r="M161" s="281"/>
      <x:c r="N161" s="281"/>
      <x:c r="O161" s="281"/>
      <x:c r="P161" s="281"/>
      <x:c r="Q161" s="281"/>
      <x:c r="R161" s="281"/>
      <x:c r="S161" s="281"/>
      <x:c r="T161" s="281"/>
      <x:c r="U161" s="281"/>
      <x:c r="V161" s="281"/>
      <x:c r="W161" s="281"/>
      <x:c r="X161" s="281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396"/>
      <x:c r="B162" s="362"/>
      <x:c r="C162" s="362"/>
      <x:c r="D162" s="364"/>
      <x:c r="E162" s="362"/>
      <x:c r="F162" s="362"/>
      <x:c r="G162" s="362"/>
      <x:c r="H162" s="389"/>
      <x:c r="I162" s="281"/>
      <x:c r="J162" s="281"/>
      <x:c r="K162" s="281"/>
      <x:c r="L162" s="281"/>
      <x:c r="M162" s="281"/>
      <x:c r="N162" s="281"/>
      <x:c r="O162" s="281"/>
      <x:c r="P162" s="281"/>
      <x:c r="Q162" s="281"/>
      <x:c r="R162" s="281"/>
      <x:c r="S162" s="281"/>
      <x:c r="T162" s="281"/>
      <x:c r="U162" s="281"/>
      <x:c r="V162" s="281"/>
      <x:c r="W162" s="281"/>
      <x:c r="X162" s="281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396"/>
      <x:c r="B163" s="362"/>
      <x:c r="C163" s="362"/>
      <x:c r="D163" s="364"/>
      <x:c r="E163" s="362"/>
      <x:c r="F163" s="362"/>
      <x:c r="G163" s="362"/>
      <x:c r="H163" s="389"/>
      <x:c r="I163" s="281"/>
      <x:c r="J163" s="281"/>
      <x:c r="K163" s="281"/>
      <x:c r="L163" s="281"/>
      <x:c r="M163" s="281"/>
      <x:c r="N163" s="281"/>
      <x:c r="O163" s="281"/>
      <x:c r="P163" s="281"/>
      <x:c r="Q163" s="281"/>
      <x:c r="R163" s="281"/>
      <x:c r="S163" s="281"/>
      <x:c r="T163" s="281"/>
      <x:c r="U163" s="281"/>
      <x:c r="V163" s="281"/>
      <x:c r="W163" s="281"/>
      <x:c r="X163" s="281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396"/>
      <x:c r="B164" s="362"/>
      <x:c r="C164" s="362"/>
      <x:c r="D164" s="364"/>
      <x:c r="E164" s="362"/>
      <x:c r="F164" s="362"/>
      <x:c r="G164" s="362"/>
      <x:c r="H164" s="389"/>
      <x:c r="I164" s="281"/>
      <x:c r="J164" s="281"/>
      <x:c r="K164" s="281"/>
      <x:c r="L164" s="281"/>
      <x:c r="M164" s="281"/>
      <x:c r="N164" s="281"/>
      <x:c r="O164" s="281"/>
      <x:c r="P164" s="281"/>
      <x:c r="Q164" s="281"/>
      <x:c r="R164" s="281"/>
      <x:c r="S164" s="281"/>
      <x:c r="T164" s="281"/>
      <x:c r="U164" s="281"/>
      <x:c r="V164" s="281"/>
      <x:c r="W164" s="281"/>
      <x:c r="X164" s="281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396"/>
      <x:c r="B165" s="362"/>
      <x:c r="C165" s="362"/>
      <x:c r="D165" s="364"/>
      <x:c r="E165" s="362"/>
      <x:c r="F165" s="362"/>
      <x:c r="G165" s="362"/>
      <x:c r="H165" s="389"/>
      <x:c r="I165" s="281"/>
      <x:c r="J165" s="281"/>
      <x:c r="K165" s="281"/>
      <x:c r="L165" s="281"/>
      <x:c r="M165" s="281"/>
      <x:c r="N165" s="281"/>
      <x:c r="O165" s="281"/>
      <x:c r="P165" s="281"/>
      <x:c r="Q165" s="281"/>
      <x:c r="R165" s="281"/>
      <x:c r="S165" s="281"/>
      <x:c r="T165" s="281"/>
      <x:c r="U165" s="281"/>
      <x:c r="V165" s="281"/>
      <x:c r="W165" s="281"/>
      <x:c r="X165" s="281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396"/>
      <x:c r="B166" s="362"/>
      <x:c r="C166" s="362"/>
      <x:c r="D166" s="364"/>
      <x:c r="E166" s="362"/>
      <x:c r="F166" s="362"/>
      <x:c r="G166" s="362"/>
      <x:c r="H166" s="389"/>
      <x:c r="I166" s="281"/>
      <x:c r="J166" s="281"/>
      <x:c r="K166" s="281"/>
      <x:c r="L166" s="281"/>
      <x:c r="M166" s="281"/>
      <x:c r="N166" s="281"/>
      <x:c r="O166" s="281"/>
      <x:c r="P166" s="281"/>
      <x:c r="Q166" s="281"/>
      <x:c r="R166" s="281"/>
      <x:c r="S166" s="281"/>
      <x:c r="T166" s="281"/>
      <x:c r="U166" s="281"/>
      <x:c r="V166" s="281"/>
      <x:c r="W166" s="281"/>
      <x:c r="X166" s="281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396"/>
      <x:c r="B167" s="362"/>
      <x:c r="C167" s="362"/>
      <x:c r="D167" s="364"/>
      <x:c r="E167" s="362"/>
      <x:c r="F167" s="362"/>
      <x:c r="G167" s="362"/>
      <x:c r="H167" s="389"/>
      <x:c r="I167" s="281"/>
      <x:c r="J167" s="281"/>
      <x:c r="K167" s="281"/>
      <x:c r="L167" s="281"/>
      <x:c r="M167" s="281"/>
      <x:c r="N167" s="281"/>
      <x:c r="O167" s="281"/>
      <x:c r="P167" s="281"/>
      <x:c r="Q167" s="281"/>
      <x:c r="R167" s="281"/>
      <x:c r="S167" s="281"/>
      <x:c r="T167" s="281"/>
      <x:c r="U167" s="281"/>
      <x:c r="V167" s="281"/>
      <x:c r="W167" s="281"/>
      <x:c r="X167" s="281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396"/>
      <x:c r="B168" s="362"/>
      <x:c r="C168" s="362"/>
      <x:c r="D168" s="364"/>
      <x:c r="E168" s="362"/>
      <x:c r="F168" s="362"/>
      <x:c r="G168" s="362"/>
      <x:c r="H168" s="389"/>
      <x:c r="I168" s="281"/>
      <x:c r="J168" s="281"/>
      <x:c r="K168" s="281"/>
      <x:c r="L168" s="281"/>
      <x:c r="M168" s="281"/>
      <x:c r="N168" s="281"/>
      <x:c r="O168" s="281"/>
      <x:c r="P168" s="281"/>
      <x:c r="Q168" s="281"/>
      <x:c r="R168" s="281"/>
      <x:c r="S168" s="281"/>
      <x:c r="T168" s="281"/>
      <x:c r="U168" s="281"/>
      <x:c r="V168" s="281"/>
      <x:c r="W168" s="281"/>
      <x:c r="X168" s="281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396"/>
      <x:c r="B169" s="362"/>
      <x:c r="C169" s="362"/>
      <x:c r="D169" s="364"/>
      <x:c r="E169" s="362"/>
      <x:c r="F169" s="362"/>
      <x:c r="G169" s="362"/>
      <x:c r="H169" s="389"/>
      <x:c r="I169" s="281"/>
      <x:c r="J169" s="281"/>
      <x:c r="K169" s="281"/>
      <x:c r="L169" s="281"/>
      <x:c r="M169" s="281"/>
      <x:c r="N169" s="281"/>
      <x:c r="O169" s="281"/>
      <x:c r="P169" s="281"/>
      <x:c r="Q169" s="281"/>
      <x:c r="R169" s="281"/>
      <x:c r="S169" s="281"/>
      <x:c r="T169" s="281"/>
      <x:c r="U169" s="281"/>
      <x:c r="V169" s="281"/>
      <x:c r="W169" s="281"/>
      <x:c r="X169" s="281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396"/>
      <x:c r="B170" s="362"/>
      <x:c r="C170" s="362"/>
      <x:c r="D170" s="364"/>
      <x:c r="E170" s="362"/>
      <x:c r="F170" s="362"/>
      <x:c r="G170" s="362"/>
      <x:c r="H170" s="389"/>
      <x:c r="I170" s="281"/>
      <x:c r="J170" s="281"/>
      <x:c r="K170" s="281"/>
      <x:c r="L170" s="281"/>
      <x:c r="M170" s="281"/>
      <x:c r="N170" s="281"/>
      <x:c r="O170" s="281"/>
      <x:c r="P170" s="281"/>
      <x:c r="Q170" s="281"/>
      <x:c r="R170" s="281"/>
      <x:c r="S170" s="281"/>
      <x:c r="T170" s="281"/>
      <x:c r="U170" s="281"/>
      <x:c r="V170" s="281"/>
      <x:c r="W170" s="281"/>
      <x:c r="X170" s="281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396"/>
      <x:c r="B171" s="362"/>
      <x:c r="C171" s="362"/>
      <x:c r="D171" s="364"/>
      <x:c r="E171" s="362"/>
      <x:c r="F171" s="362"/>
      <x:c r="G171" s="362"/>
      <x:c r="H171" s="389"/>
      <x:c r="I171" s="281"/>
      <x:c r="J171" s="281"/>
      <x:c r="K171" s="281"/>
      <x:c r="L171" s="281"/>
      <x:c r="M171" s="281"/>
      <x:c r="N171" s="281"/>
      <x:c r="O171" s="281"/>
      <x:c r="P171" s="281"/>
      <x:c r="Q171" s="281"/>
      <x:c r="R171" s="281"/>
      <x:c r="S171" s="281"/>
      <x:c r="T171" s="281"/>
      <x:c r="U171" s="281"/>
      <x:c r="V171" s="281"/>
      <x:c r="W171" s="281"/>
      <x:c r="X171" s="281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396"/>
      <x:c r="B172" s="362"/>
      <x:c r="C172" s="362"/>
      <x:c r="D172" s="364"/>
      <x:c r="E172" s="362"/>
      <x:c r="F172" s="362"/>
      <x:c r="G172" s="362"/>
      <x:c r="H172" s="389"/>
      <x:c r="I172" s="281"/>
      <x:c r="J172" s="281"/>
      <x:c r="K172" s="281"/>
      <x:c r="L172" s="281"/>
      <x:c r="M172" s="281"/>
      <x:c r="N172" s="281"/>
      <x:c r="O172" s="281"/>
      <x:c r="P172" s="281"/>
      <x:c r="Q172" s="281"/>
      <x:c r="R172" s="281"/>
      <x:c r="S172" s="281"/>
      <x:c r="T172" s="281"/>
      <x:c r="U172" s="281"/>
      <x:c r="V172" s="281"/>
      <x:c r="W172" s="281"/>
      <x:c r="X172" s="281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396"/>
      <x:c r="B173" s="362"/>
      <x:c r="C173" s="362"/>
      <x:c r="D173" s="364"/>
      <x:c r="E173" s="362"/>
      <x:c r="F173" s="362"/>
      <x:c r="G173" s="362"/>
      <x:c r="H173" s="389"/>
      <x:c r="I173" s="281"/>
      <x:c r="J173" s="281"/>
      <x:c r="K173" s="281"/>
      <x:c r="L173" s="281"/>
      <x:c r="M173" s="281"/>
      <x:c r="N173" s="281"/>
      <x:c r="O173" s="281"/>
      <x:c r="P173" s="281"/>
      <x:c r="Q173" s="281"/>
      <x:c r="R173" s="281"/>
      <x:c r="S173" s="281"/>
      <x:c r="T173" s="281"/>
      <x:c r="U173" s="281"/>
      <x:c r="V173" s="281"/>
      <x:c r="W173" s="281"/>
      <x:c r="X173" s="281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396"/>
      <x:c r="B174" s="362"/>
      <x:c r="C174" s="362"/>
      <x:c r="D174" s="364"/>
      <x:c r="E174" s="362"/>
      <x:c r="F174" s="362"/>
      <x:c r="G174" s="362"/>
      <x:c r="H174" s="389"/>
      <x:c r="I174" s="281"/>
      <x:c r="J174" s="281"/>
      <x:c r="K174" s="281"/>
      <x:c r="L174" s="281"/>
      <x:c r="M174" s="281"/>
      <x:c r="N174" s="281"/>
      <x:c r="O174" s="281"/>
      <x:c r="P174" s="281"/>
      <x:c r="Q174" s="281"/>
      <x:c r="R174" s="281"/>
      <x:c r="S174" s="281"/>
      <x:c r="T174" s="281"/>
      <x:c r="U174" s="281"/>
      <x:c r="V174" s="281"/>
      <x:c r="W174" s="281"/>
      <x:c r="X174" s="281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396"/>
      <x:c r="B175" s="362"/>
      <x:c r="C175" s="362"/>
      <x:c r="D175" s="364"/>
      <x:c r="E175" s="362"/>
      <x:c r="F175" s="362"/>
      <x:c r="G175" s="362"/>
      <x:c r="H175" s="389"/>
      <x:c r="I175" s="281"/>
      <x:c r="J175" s="281"/>
      <x:c r="K175" s="281"/>
      <x:c r="L175" s="281"/>
      <x:c r="M175" s="281"/>
      <x:c r="N175" s="281"/>
      <x:c r="O175" s="281"/>
      <x:c r="P175" s="281"/>
      <x:c r="Q175" s="281"/>
      <x:c r="R175" s="281"/>
      <x:c r="S175" s="281"/>
      <x:c r="T175" s="281"/>
      <x:c r="U175" s="281"/>
      <x:c r="V175" s="281"/>
      <x:c r="W175" s="281"/>
      <x:c r="X175" s="281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396"/>
      <x:c r="B176" s="362"/>
      <x:c r="C176" s="362"/>
      <x:c r="D176" s="364"/>
      <x:c r="E176" s="362"/>
      <x:c r="F176" s="362"/>
      <x:c r="G176" s="362"/>
      <x:c r="H176" s="389"/>
      <x:c r="I176" s="281"/>
      <x:c r="J176" s="281"/>
      <x:c r="K176" s="281"/>
      <x:c r="L176" s="281"/>
      <x:c r="M176" s="281"/>
      <x:c r="N176" s="281"/>
      <x:c r="O176" s="281"/>
      <x:c r="P176" s="281"/>
      <x:c r="Q176" s="281"/>
      <x:c r="R176" s="281"/>
      <x:c r="S176" s="281"/>
      <x:c r="T176" s="281"/>
      <x:c r="U176" s="281"/>
      <x:c r="V176" s="281"/>
      <x:c r="W176" s="281"/>
      <x:c r="X176" s="281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396"/>
      <x:c r="B177" s="362"/>
      <x:c r="C177" s="362"/>
      <x:c r="D177" s="364"/>
      <x:c r="E177" s="362"/>
      <x:c r="F177" s="362"/>
      <x:c r="G177" s="362"/>
      <x:c r="H177" s="389"/>
      <x:c r="I177" s="281"/>
      <x:c r="J177" s="281"/>
      <x:c r="K177" s="281"/>
      <x:c r="L177" s="281"/>
      <x:c r="M177" s="281"/>
      <x:c r="N177" s="281"/>
      <x:c r="O177" s="281"/>
      <x:c r="P177" s="281"/>
      <x:c r="Q177" s="281"/>
      <x:c r="R177" s="281"/>
      <x:c r="S177" s="281"/>
      <x:c r="T177" s="281"/>
      <x:c r="U177" s="281"/>
      <x:c r="V177" s="281"/>
      <x:c r="W177" s="281"/>
      <x:c r="X177" s="281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396"/>
      <x:c r="B178" s="362"/>
      <x:c r="C178" s="362"/>
      <x:c r="D178" s="364"/>
      <x:c r="E178" s="362"/>
      <x:c r="F178" s="362"/>
      <x:c r="G178" s="362"/>
      <x:c r="H178" s="389"/>
      <x:c r="I178" s="281"/>
      <x:c r="J178" s="281"/>
      <x:c r="K178" s="281"/>
      <x:c r="L178" s="281"/>
      <x:c r="M178" s="281"/>
      <x:c r="N178" s="281"/>
      <x:c r="O178" s="281"/>
      <x:c r="P178" s="281"/>
      <x:c r="Q178" s="281"/>
      <x:c r="R178" s="281"/>
      <x:c r="S178" s="281"/>
      <x:c r="T178" s="281"/>
      <x:c r="U178" s="281"/>
      <x:c r="V178" s="281"/>
      <x:c r="W178" s="281"/>
      <x:c r="X178" s="281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396"/>
      <x:c r="B179" s="362"/>
      <x:c r="C179" s="362"/>
      <x:c r="D179" s="364"/>
      <x:c r="E179" s="362"/>
      <x:c r="F179" s="362"/>
      <x:c r="G179" s="362"/>
      <x:c r="H179" s="389"/>
      <x:c r="I179" s="281"/>
      <x:c r="J179" s="281"/>
      <x:c r="K179" s="281"/>
      <x:c r="L179" s="281"/>
      <x:c r="M179" s="281"/>
      <x:c r="N179" s="281"/>
      <x:c r="O179" s="281"/>
      <x:c r="P179" s="281"/>
      <x:c r="Q179" s="281"/>
      <x:c r="R179" s="281"/>
      <x:c r="S179" s="281"/>
      <x:c r="T179" s="281"/>
      <x:c r="U179" s="281"/>
      <x:c r="V179" s="281"/>
      <x:c r="W179" s="281"/>
      <x:c r="X179" s="281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396"/>
      <x:c r="B180" s="362"/>
      <x:c r="C180" s="362"/>
      <x:c r="D180" s="364"/>
      <x:c r="E180" s="362"/>
      <x:c r="F180" s="362"/>
      <x:c r="G180" s="362"/>
      <x:c r="H180" s="389"/>
      <x:c r="I180" s="281"/>
      <x:c r="J180" s="281"/>
      <x:c r="K180" s="281"/>
      <x:c r="L180" s="281"/>
      <x:c r="M180" s="281"/>
      <x:c r="N180" s="281"/>
      <x:c r="O180" s="281"/>
      <x:c r="P180" s="281"/>
      <x:c r="Q180" s="281"/>
      <x:c r="R180" s="281"/>
      <x:c r="S180" s="281"/>
      <x:c r="T180" s="281"/>
      <x:c r="U180" s="281"/>
      <x:c r="V180" s="281"/>
      <x:c r="W180" s="281"/>
      <x:c r="X180" s="281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396"/>
      <x:c r="B181" s="362"/>
      <x:c r="C181" s="362"/>
      <x:c r="D181" s="364"/>
      <x:c r="E181" s="362"/>
      <x:c r="F181" s="362"/>
      <x:c r="G181" s="362"/>
      <x:c r="H181" s="389"/>
      <x:c r="I181" s="281"/>
      <x:c r="J181" s="281"/>
      <x:c r="K181" s="281"/>
      <x:c r="L181" s="281"/>
      <x:c r="M181" s="281"/>
      <x:c r="N181" s="281"/>
      <x:c r="O181" s="281"/>
      <x:c r="P181" s="281"/>
      <x:c r="Q181" s="281"/>
      <x:c r="R181" s="281"/>
      <x:c r="S181" s="281"/>
      <x:c r="T181" s="281"/>
      <x:c r="U181" s="281"/>
      <x:c r="V181" s="281"/>
      <x:c r="W181" s="281"/>
      <x:c r="X181" s="281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396"/>
      <x:c r="B182" s="362"/>
      <x:c r="C182" s="362"/>
      <x:c r="D182" s="364"/>
      <x:c r="E182" s="362"/>
      <x:c r="F182" s="362"/>
      <x:c r="G182" s="362"/>
      <x:c r="H182" s="389"/>
      <x:c r="I182" s="281"/>
      <x:c r="J182" s="281"/>
      <x:c r="K182" s="281"/>
      <x:c r="L182" s="281"/>
      <x:c r="M182" s="281"/>
      <x:c r="N182" s="281"/>
      <x:c r="O182" s="281"/>
      <x:c r="P182" s="281"/>
      <x:c r="Q182" s="281"/>
      <x:c r="R182" s="281"/>
      <x:c r="S182" s="281"/>
      <x:c r="T182" s="281"/>
      <x:c r="U182" s="281"/>
      <x:c r="V182" s="281"/>
      <x:c r="W182" s="281"/>
      <x:c r="X182" s="281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396"/>
      <x:c r="B183" s="362"/>
      <x:c r="C183" s="362"/>
      <x:c r="D183" s="364"/>
      <x:c r="E183" s="362"/>
      <x:c r="F183" s="362"/>
      <x:c r="G183" s="362"/>
      <x:c r="H183" s="389"/>
      <x:c r="I183" s="281"/>
      <x:c r="J183" s="281"/>
      <x:c r="K183" s="281"/>
      <x:c r="L183" s="281"/>
      <x:c r="M183" s="281"/>
      <x:c r="N183" s="281"/>
      <x:c r="O183" s="281"/>
      <x:c r="P183" s="281"/>
      <x:c r="Q183" s="281"/>
      <x:c r="R183" s="281"/>
      <x:c r="S183" s="281"/>
      <x:c r="T183" s="281"/>
      <x:c r="U183" s="281"/>
      <x:c r="V183" s="281"/>
      <x:c r="W183" s="281"/>
      <x:c r="X183" s="281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396"/>
      <x:c r="B184" s="362"/>
      <x:c r="C184" s="362"/>
      <x:c r="D184" s="364"/>
      <x:c r="E184" s="362"/>
      <x:c r="F184" s="362"/>
      <x:c r="G184" s="362"/>
      <x:c r="H184" s="389"/>
      <x:c r="I184" s="281"/>
      <x:c r="J184" s="281"/>
      <x:c r="K184" s="281"/>
      <x:c r="L184" s="281"/>
      <x:c r="M184" s="281"/>
      <x:c r="N184" s="281"/>
      <x:c r="O184" s="281"/>
      <x:c r="P184" s="281"/>
      <x:c r="Q184" s="281"/>
      <x:c r="R184" s="281"/>
      <x:c r="S184" s="281"/>
      <x:c r="T184" s="281"/>
      <x:c r="U184" s="281"/>
      <x:c r="V184" s="281"/>
      <x:c r="W184" s="281"/>
      <x:c r="X184" s="281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396"/>
      <x:c r="B185" s="362"/>
      <x:c r="C185" s="362"/>
      <x:c r="D185" s="364"/>
      <x:c r="E185" s="362"/>
      <x:c r="F185" s="362"/>
      <x:c r="G185" s="362"/>
      <x:c r="H185" s="389"/>
      <x:c r="I185" s="281"/>
      <x:c r="J185" s="281"/>
      <x:c r="K185" s="281"/>
      <x:c r="L185" s="281"/>
      <x:c r="M185" s="281"/>
      <x:c r="N185" s="281"/>
      <x:c r="O185" s="281"/>
      <x:c r="P185" s="281"/>
      <x:c r="Q185" s="281"/>
      <x:c r="R185" s="281"/>
      <x:c r="S185" s="281"/>
      <x:c r="T185" s="281"/>
      <x:c r="U185" s="281"/>
      <x:c r="V185" s="281"/>
      <x:c r="W185" s="281"/>
      <x:c r="X185" s="281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396"/>
      <x:c r="B186" s="362"/>
      <x:c r="C186" s="362"/>
      <x:c r="D186" s="364"/>
      <x:c r="E186" s="362"/>
      <x:c r="F186" s="362"/>
      <x:c r="G186" s="362"/>
      <x:c r="H186" s="389"/>
      <x:c r="I186" s="281"/>
      <x:c r="J186" s="281"/>
      <x:c r="K186" s="281"/>
      <x:c r="L186" s="281"/>
      <x:c r="M186" s="281"/>
      <x:c r="N186" s="281"/>
      <x:c r="O186" s="281"/>
      <x:c r="P186" s="281"/>
      <x:c r="Q186" s="281"/>
      <x:c r="R186" s="281"/>
      <x:c r="S186" s="281"/>
      <x:c r="T186" s="281"/>
      <x:c r="U186" s="281"/>
      <x:c r="V186" s="281"/>
      <x:c r="W186" s="281"/>
      <x:c r="X186" s="281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396"/>
      <x:c r="B187" s="362"/>
      <x:c r="C187" s="362"/>
      <x:c r="D187" s="364"/>
      <x:c r="E187" s="362"/>
      <x:c r="F187" s="362"/>
      <x:c r="G187" s="362"/>
      <x:c r="H187" s="389"/>
      <x:c r="I187" s="281"/>
      <x:c r="J187" s="281"/>
      <x:c r="K187" s="281"/>
      <x:c r="L187" s="281"/>
      <x:c r="M187" s="281"/>
      <x:c r="N187" s="281"/>
      <x:c r="O187" s="281"/>
      <x:c r="P187" s="281"/>
      <x:c r="Q187" s="281"/>
      <x:c r="R187" s="281"/>
      <x:c r="S187" s="281"/>
      <x:c r="T187" s="281"/>
      <x:c r="U187" s="281"/>
      <x:c r="V187" s="281"/>
      <x:c r="W187" s="281"/>
      <x:c r="X187" s="281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396"/>
      <x:c r="B188" s="362"/>
      <x:c r="C188" s="362"/>
      <x:c r="D188" s="364"/>
      <x:c r="E188" s="362"/>
      <x:c r="F188" s="362"/>
      <x:c r="G188" s="362"/>
      <x:c r="H188" s="389"/>
      <x:c r="I188" s="281"/>
      <x:c r="J188" s="281"/>
      <x:c r="K188" s="281"/>
      <x:c r="L188" s="281"/>
      <x:c r="M188" s="281"/>
      <x:c r="N188" s="281"/>
      <x:c r="O188" s="281"/>
      <x:c r="P188" s="281"/>
      <x:c r="Q188" s="281"/>
      <x:c r="R188" s="281"/>
      <x:c r="S188" s="281"/>
      <x:c r="T188" s="281"/>
      <x:c r="U188" s="281"/>
      <x:c r="V188" s="281"/>
      <x:c r="W188" s="281"/>
      <x:c r="X188" s="281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396"/>
      <x:c r="B189" s="362"/>
      <x:c r="C189" s="362"/>
      <x:c r="D189" s="364"/>
      <x:c r="E189" s="362"/>
      <x:c r="F189" s="362"/>
      <x:c r="G189" s="362"/>
      <x:c r="H189" s="389"/>
      <x:c r="I189" s="281"/>
      <x:c r="J189" s="281"/>
      <x:c r="K189" s="281"/>
      <x:c r="L189" s="281"/>
      <x:c r="M189" s="281"/>
      <x:c r="N189" s="281"/>
      <x:c r="O189" s="281"/>
      <x:c r="P189" s="281"/>
      <x:c r="Q189" s="281"/>
      <x:c r="R189" s="281"/>
      <x:c r="S189" s="281"/>
      <x:c r="T189" s="281"/>
      <x:c r="U189" s="281"/>
      <x:c r="V189" s="281"/>
      <x:c r="W189" s="281"/>
      <x:c r="X189" s="281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396"/>
      <x:c r="B190" s="362"/>
      <x:c r="C190" s="362"/>
      <x:c r="D190" s="364"/>
      <x:c r="E190" s="362"/>
      <x:c r="F190" s="362"/>
      <x:c r="G190" s="362"/>
      <x:c r="H190" s="389"/>
      <x:c r="I190" s="281"/>
      <x:c r="J190" s="281"/>
      <x:c r="K190" s="281"/>
      <x:c r="L190" s="281"/>
      <x:c r="M190" s="281"/>
      <x:c r="N190" s="281"/>
      <x:c r="O190" s="281"/>
      <x:c r="P190" s="281"/>
      <x:c r="Q190" s="281"/>
      <x:c r="R190" s="281"/>
      <x:c r="S190" s="281"/>
      <x:c r="T190" s="281"/>
      <x:c r="U190" s="281"/>
      <x:c r="V190" s="281"/>
      <x:c r="W190" s="281"/>
      <x:c r="X190" s="281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396"/>
      <x:c r="B191" s="362"/>
      <x:c r="C191" s="362"/>
      <x:c r="D191" s="364"/>
      <x:c r="E191" s="362"/>
      <x:c r="F191" s="362"/>
      <x:c r="G191" s="362"/>
      <x:c r="H191" s="389"/>
      <x:c r="I191" s="281"/>
      <x:c r="J191" s="281"/>
      <x:c r="K191" s="281"/>
      <x:c r="L191" s="281"/>
      <x:c r="M191" s="281"/>
      <x:c r="N191" s="281"/>
      <x:c r="O191" s="281"/>
      <x:c r="P191" s="281"/>
      <x:c r="Q191" s="281"/>
      <x:c r="R191" s="281"/>
      <x:c r="S191" s="281"/>
      <x:c r="T191" s="281"/>
      <x:c r="U191" s="281"/>
      <x:c r="V191" s="281"/>
      <x:c r="W191" s="281"/>
      <x:c r="X191" s="281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396"/>
      <x:c r="B192" s="362"/>
      <x:c r="C192" s="362"/>
      <x:c r="D192" s="364"/>
      <x:c r="E192" s="362"/>
      <x:c r="F192" s="362"/>
      <x:c r="G192" s="362"/>
      <x:c r="H192" s="389"/>
      <x:c r="I192" s="281"/>
      <x:c r="J192" s="281"/>
      <x:c r="K192" s="281"/>
      <x:c r="L192" s="281"/>
      <x:c r="M192" s="281"/>
      <x:c r="N192" s="281"/>
      <x:c r="O192" s="281"/>
      <x:c r="P192" s="281"/>
      <x:c r="Q192" s="281"/>
      <x:c r="R192" s="281"/>
      <x:c r="S192" s="281"/>
      <x:c r="T192" s="281"/>
      <x:c r="U192" s="281"/>
      <x:c r="V192" s="281"/>
      <x:c r="W192" s="281"/>
      <x:c r="X192" s="281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396"/>
      <x:c r="B193" s="362"/>
      <x:c r="C193" s="362"/>
      <x:c r="D193" s="364"/>
      <x:c r="E193" s="362"/>
      <x:c r="F193" s="362"/>
      <x:c r="G193" s="362"/>
      <x:c r="H193" s="389"/>
      <x:c r="I193" s="281"/>
      <x:c r="J193" s="281"/>
      <x:c r="K193" s="281"/>
      <x:c r="L193" s="281"/>
      <x:c r="M193" s="281"/>
      <x:c r="N193" s="281"/>
      <x:c r="O193" s="281"/>
      <x:c r="P193" s="281"/>
      <x:c r="Q193" s="281"/>
      <x:c r="R193" s="281"/>
      <x:c r="S193" s="281"/>
      <x:c r="T193" s="281"/>
      <x:c r="U193" s="281"/>
      <x:c r="V193" s="281"/>
      <x:c r="W193" s="281"/>
      <x:c r="X193" s="281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396"/>
      <x:c r="B194" s="362"/>
      <x:c r="C194" s="362"/>
      <x:c r="D194" s="364"/>
      <x:c r="E194" s="362"/>
      <x:c r="F194" s="362"/>
      <x:c r="G194" s="362"/>
      <x:c r="H194" s="389"/>
      <x:c r="I194" s="281"/>
      <x:c r="J194" s="281"/>
      <x:c r="K194" s="281"/>
      <x:c r="L194" s="281"/>
      <x:c r="M194" s="281"/>
      <x:c r="N194" s="281"/>
      <x:c r="O194" s="281"/>
      <x:c r="P194" s="281"/>
      <x:c r="Q194" s="281"/>
      <x:c r="R194" s="281"/>
      <x:c r="S194" s="281"/>
      <x:c r="T194" s="281"/>
      <x:c r="U194" s="281"/>
      <x:c r="V194" s="281"/>
      <x:c r="W194" s="281"/>
      <x:c r="X194" s="281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396"/>
      <x:c r="B195" s="362"/>
      <x:c r="C195" s="362"/>
      <x:c r="D195" s="364"/>
      <x:c r="E195" s="362"/>
      <x:c r="F195" s="362"/>
      <x:c r="G195" s="362"/>
      <x:c r="H195" s="389"/>
      <x:c r="I195" s="281"/>
      <x:c r="J195" s="281"/>
      <x:c r="K195" s="281"/>
      <x:c r="L195" s="281"/>
      <x:c r="M195" s="281"/>
      <x:c r="N195" s="281"/>
      <x:c r="O195" s="281"/>
      <x:c r="P195" s="281"/>
      <x:c r="Q195" s="281"/>
      <x:c r="R195" s="281"/>
      <x:c r="S195" s="281"/>
      <x:c r="T195" s="281"/>
      <x:c r="U195" s="281"/>
      <x:c r="V195" s="281"/>
      <x:c r="W195" s="281"/>
      <x:c r="X195" s="281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396"/>
      <x:c r="B196" s="362"/>
      <x:c r="C196" s="362"/>
      <x:c r="D196" s="364"/>
      <x:c r="E196" s="362"/>
      <x:c r="F196" s="362"/>
      <x:c r="G196" s="362"/>
      <x:c r="H196" s="389"/>
      <x:c r="I196" s="281"/>
      <x:c r="J196" s="281"/>
      <x:c r="K196" s="281"/>
      <x:c r="L196" s="281"/>
      <x:c r="M196" s="281"/>
      <x:c r="N196" s="281"/>
      <x:c r="O196" s="281"/>
      <x:c r="P196" s="281"/>
      <x:c r="Q196" s="281"/>
      <x:c r="R196" s="281"/>
      <x:c r="S196" s="281"/>
      <x:c r="T196" s="281"/>
      <x:c r="U196" s="281"/>
      <x:c r="V196" s="281"/>
      <x:c r="W196" s="281"/>
      <x:c r="X196" s="281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396"/>
      <x:c r="B197" s="362"/>
      <x:c r="C197" s="362"/>
      <x:c r="D197" s="364"/>
      <x:c r="E197" s="362"/>
      <x:c r="F197" s="362"/>
      <x:c r="G197" s="362"/>
      <x:c r="H197" s="389"/>
      <x:c r="I197" s="281"/>
      <x:c r="J197" s="281"/>
      <x:c r="K197" s="281"/>
      <x:c r="L197" s="281"/>
      <x:c r="M197" s="281"/>
      <x:c r="N197" s="281"/>
      <x:c r="O197" s="281"/>
      <x:c r="P197" s="281"/>
      <x:c r="Q197" s="281"/>
      <x:c r="R197" s="281"/>
      <x:c r="S197" s="281"/>
      <x:c r="T197" s="281"/>
      <x:c r="U197" s="281"/>
      <x:c r="V197" s="281"/>
      <x:c r="W197" s="281"/>
      <x:c r="X197" s="281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396"/>
      <x:c r="B198" s="362"/>
      <x:c r="C198" s="362"/>
      <x:c r="D198" s="364"/>
      <x:c r="E198" s="362"/>
      <x:c r="F198" s="362"/>
      <x:c r="G198" s="362"/>
      <x:c r="H198" s="389"/>
      <x:c r="I198" s="281"/>
      <x:c r="J198" s="281"/>
      <x:c r="K198" s="281"/>
      <x:c r="L198" s="281"/>
      <x:c r="M198" s="281"/>
      <x:c r="N198" s="281"/>
      <x:c r="O198" s="281"/>
      <x:c r="P198" s="281"/>
      <x:c r="Q198" s="281"/>
      <x:c r="R198" s="281"/>
      <x:c r="S198" s="281"/>
      <x:c r="T198" s="281"/>
      <x:c r="U198" s="281"/>
      <x:c r="V198" s="281"/>
      <x:c r="W198" s="281"/>
      <x:c r="X198" s="281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396"/>
      <x:c r="B199" s="362"/>
      <x:c r="C199" s="362"/>
      <x:c r="D199" s="364"/>
      <x:c r="E199" s="362"/>
      <x:c r="F199" s="362"/>
      <x:c r="G199" s="362"/>
      <x:c r="H199" s="389"/>
      <x:c r="I199" s="281"/>
      <x:c r="J199" s="281"/>
      <x:c r="K199" s="281"/>
      <x:c r="L199" s="281"/>
      <x:c r="M199" s="281"/>
      <x:c r="N199" s="281"/>
      <x:c r="O199" s="281"/>
      <x:c r="P199" s="281"/>
      <x:c r="Q199" s="281"/>
      <x:c r="R199" s="281"/>
      <x:c r="S199" s="281"/>
      <x:c r="T199" s="281"/>
      <x:c r="U199" s="281"/>
      <x:c r="V199" s="281"/>
      <x:c r="W199" s="281"/>
      <x:c r="X199" s="281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397"/>
      <x:c r="B200" s="368"/>
      <x:c r="C200" s="368"/>
      <x:c r="D200" s="370"/>
      <x:c r="E200" s="368"/>
      <x:c r="F200" s="368"/>
      <x:c r="G200" s="368"/>
      <x:c r="H200" s="391"/>
      <x:c r="I200" s="281"/>
      <x:c r="J200" s="281"/>
      <x:c r="K200" s="281"/>
      <x:c r="L200" s="281"/>
      <x:c r="M200" s="281"/>
      <x:c r="N200" s="281"/>
      <x:c r="O200" s="281"/>
      <x:c r="P200" s="281"/>
      <x:c r="Q200" s="281"/>
      <x:c r="R200" s="281"/>
      <x:c r="S200" s="281"/>
      <x:c r="T200" s="281"/>
      <x:c r="U200" s="281"/>
      <x:c r="V200" s="281"/>
      <x:c r="W200" s="281"/>
      <x:c r="X200" s="281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H1"/>
    <x:mergeCell ref="A2:H2"/>
  </x:mergeCells>
  <x:dataValidations count="1">
    <x:dataValidation type="list" sqref="C5:C200">
      <x:formula1>'Status Lists'!$E$2:$E$7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b7c05fb244c1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30" hidden="0" customWidth="1"/>
    <x:col min="5" max="5" width="40" hidden="0" customWidth="1"/>
    <x:col min="6" max="6" width="28" hidden="0" customWidth="1"/>
    <x:col min="7" max="7" width="52" hidden="0" customWidth="1"/>
  </x:cols>
  <x:sheetData>
    <x:row r="1" ht="30" customHeight="1">
      <x:c r="A1" s="412" t="str">
        <x:v>Gift Story — Pricing Rules</x:v>
      </x:c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Update assumptions here before approving active prices</x:v>
      </x:c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281"/>
      <x:c r="B3" s="281"/>
      <x:c r="C3" s="281"/>
      <x:c r="D3" s="281"/>
      <x:c r="E3" s="281"/>
      <x:c r="F3" s="281"/>
      <x:c r="G3" s="281"/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 ht="24" customHeight="1">
      <x:c r="A4" s="422" t="str">
        <x:v>Input</x:v>
      </x:c>
      <x:c r="B4" s="423" t="str">
        <x:v>Value</x:v>
      </x:c>
      <x:c r="C4" s="423" t="str">
        <x:v>Unit</x:v>
      </x:c>
      <x:c r="D4" s="423" t="str">
        <x:v>Use</x:v>
      </x:c>
      <x:c r="E4" s="423" t="str">
        <x:v>Source / Basis</x:v>
      </x:c>
      <x:c r="F4" s="423" t="str">
        <x:v>Needs Confirmation</x:v>
      </x:c>
      <x:c r="G4" s="424" t="str">
        <x:v>Notes</x:v>
      </x:c>
      <x:c r="H4" s="281"/>
      <x:c r="I4" s="422" t="str">
        <x:v>Key Assumption</x:v>
      </x:c>
      <x:c r="J4" s="424" t="str">
        <x:v>Cell</x:v>
      </x:c>
      <x:c r="K4" s="281"/>
      <x:c r="L4" s="281"/>
      <x:c r="M4" s="281"/>
      <x:c r="N4" s="281"/>
      <x:c r="O4" s="281"/>
      <x:c r="P4" s="281"/>
      <x:c r="Q4" s="281"/>
      <x:c r="R4" s="281"/>
      <x:c r="S4" s="281"/>
      <x:c r="T4" s="281"/>
      <x:c r="U4" s="281"/>
      <x:c r="V4" s="281"/>
      <x:c r="W4" s="281"/>
      <x:c r="X4" s="281"/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323" t="str">
        <x:v>Packaging Cost</x:v>
      </x:c>
      <x:c r="B5" s="400" t="n">
        <x:v>18</x:v>
      </x:c>
      <x:c r="C5" s="401" t="str">
        <x:v>SAR</x:v>
      </x:c>
      <x:c r="D5" s="401" t="str">
        <x:v>Default full gift presentation cost</x:v>
      </x:c>
      <x:c r="E5" s="401" t="str">
        <x:v>Gift Story 04_PACKAGING_SYSTEM.md / 05_PRICING_MODEL.md</x:v>
      </x:c>
      <x:c r="F5" s="401" t="str">
        <x:v>Yes — update per supplier batch</x:v>
      </x:c>
      <x:c r="G5" s="325" t="str">
        <x:v>Includes inner box, outer gift bag, tissue, sticker, card, basic finishing assumption.</x:v>
      </x:c>
      <x:c r="H5" s="281"/>
      <x:c r="I5" s="326" t="str">
        <x:v>Packaging Cost</x:v>
      </x:c>
      <x:c r="J5" s="327" t="n">
        <x:f>B5</x:f>
        <x:v>18</x:v>
      </x:c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323" t="str">
        <x:v>Profit Markup</x:v>
      </x:c>
      <x:c r="B6" s="402" t="n">
        <x:v>0.5</x:v>
      </x:c>
      <x:c r="C6" s="401" t="str">
        <x:v>% of total cost</x:v>
      </x:c>
      <x:c r="D6" s="401" t="str">
        <x:v>Minimum target profit above cost</x:v>
      </x:c>
      <x:c r="E6" s="401" t="str">
        <x:v>Gift Story 05_PRICING_MODEL.md</x:v>
      </x:c>
      <x:c r="F6" s="401" t="str">
        <x:v>No unless strategy changes</x:v>
      </x:c>
      <x:c r="G6" s="325" t="str">
        <x:v>Target Profit = Total Cost × 50%</x:v>
      </x:c>
      <x:c r="H6" s="281"/>
      <x:c r="I6" s="326" t="str">
        <x:v>Profit Markup</x:v>
      </x:c>
      <x:c r="J6" s="328" t="n">
        <x:f>B6</x:f>
        <x:v>0.5</x:v>
      </x:c>
      <x:c r="K6" s="281"/>
      <x:c r="L6" s="281"/>
      <x:c r="M6" s="281"/>
      <x:c r="N6" s="281"/>
      <x:c r="O6" s="281"/>
      <x:c r="P6" s="281"/>
      <x:c r="Q6" s="281"/>
      <x:c r="R6" s="281"/>
      <x:c r="S6" s="281"/>
      <x:c r="T6" s="281"/>
      <x:c r="U6" s="281"/>
      <x:c r="V6" s="281"/>
      <x:c r="W6" s="281"/>
      <x:c r="X6" s="281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323" t="str">
        <x:v>Payment Percentage Fee</x:v>
      </x:c>
      <x:c r="B7" s="402" t="n">
        <x:v>0.07</x:v>
      </x:c>
      <x:c r="C7" s="401" t="str">
        <x:v>% of selling price</x:v>
      </x:c>
      <x:c r="D7" s="401" t="str">
        <x:v>Direct platform payment fee assumption</x:v>
      </x:c>
      <x:c r="E7" s="401" t="str">
        <x:v>Working assumption from project discussion</x:v>
      </x:c>
      <x:c r="F7" s="401" t="str">
        <x:v>Yes — confirm with platform/gateway</x:v>
      </x:c>
      <x:c r="G7" s="325" t="str">
        <x:v>Used in direct price formula.</x:v>
      </x:c>
      <x:c r="H7" s="281"/>
      <x:c r="I7" s="326" t="str">
        <x:v>Payment %</x:v>
      </x:c>
      <x:c r="J7" s="328" t="n">
        <x:f>B7</x:f>
        <x:v>0.07</x:v>
      </x:c>
      <x:c r="K7" s="281"/>
      <x:c r="L7" s="281"/>
      <x:c r="M7" s="281"/>
      <x:c r="N7" s="281"/>
      <x:c r="O7" s="281"/>
      <x:c r="P7" s="281"/>
      <x:c r="Q7" s="281"/>
      <x:c r="R7" s="281"/>
      <x:c r="S7" s="281"/>
      <x:c r="T7" s="281"/>
      <x:c r="U7" s="281"/>
      <x:c r="V7" s="281"/>
      <x:c r="W7" s="281"/>
      <x:c r="X7" s="281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323" t="str">
        <x:v>Fixed Payment Fee</x:v>
      </x:c>
      <x:c r="B8" s="402" t="n">
        <x:v>1</x:v>
      </x:c>
      <x:c r="C8" s="401" t="str">
        <x:v>SAR</x:v>
      </x:c>
      <x:c r="D8" s="401" t="str">
        <x:v>Direct platform fixed fee assumption</x:v>
      </x:c>
      <x:c r="E8" s="401" t="str">
        <x:v>Working assumption from project discussion</x:v>
      </x:c>
      <x:c r="F8" s="401" t="str">
        <x:v>Yes — confirm with platform/gateway</x:v>
      </x:c>
      <x:c r="G8" s="325" t="str">
        <x:v>Used in direct price formula.</x:v>
      </x:c>
      <x:c r="H8" s="281"/>
      <x:c r="I8" s="326" t="str">
        <x:v>Fixed Fee</x:v>
      </x:c>
      <x:c r="J8" s="327" t="n">
        <x:f>B8</x:f>
        <x:v>1</x:v>
      </x:c>
      <x:c r="K8" s="281"/>
      <x:c r="L8" s="281"/>
      <x:c r="M8" s="281"/>
      <x:c r="N8" s="281"/>
      <x:c r="O8" s="281"/>
      <x:c r="P8" s="281"/>
      <x:c r="Q8" s="281"/>
      <x:c r="R8" s="281"/>
      <x:c r="S8" s="281"/>
      <x:c r="T8" s="281"/>
      <x:c r="U8" s="281"/>
      <x:c r="V8" s="281"/>
      <x:c r="W8" s="281"/>
      <x:c r="X8" s="281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323" t="str">
        <x:v>Delivery App Commission</x:v>
      </x:c>
      <x:c r="B9" s="401" t="n">
        <x:v>0.225</x:v>
      </x:c>
      <x:c r="C9" s="401" t="str">
        <x:v>% of selling price</x:v>
      </x:c>
      <x:c r="D9" s="401" t="str">
        <x:v>Delivery app pricing assumption</x:v>
      </x:c>
      <x:c r="E9" s="401" t="str">
        <x:v>Working assumption until merchant contract</x:v>
      </x:c>
      <x:c r="F9" s="401" t="str">
        <x:v>Yes — confirm per contract</x:v>
      </x:c>
      <x:c r="G9" s="325" t="str">
        <x:v>Do not double count if app fee already includes payment processing.</x:v>
      </x:c>
      <x:c r="H9" s="281"/>
      <x:c r="I9" s="330" t="str">
        <x:v>App Commission</x:v>
      </x:c>
      <x:c r="J9" s="331" t="n">
        <x:f>B9</x:f>
        <x:v>0.225</x:v>
      </x:c>
      <x:c r="K9" s="281"/>
      <x:c r="L9" s="281"/>
      <x:c r="M9" s="281"/>
      <x:c r="N9" s="281"/>
      <x:c r="O9" s="281"/>
      <x:c r="P9" s="281"/>
      <x:c r="Q9" s="281"/>
      <x:c r="R9" s="281"/>
      <x:c r="S9" s="281"/>
      <x:c r="T9" s="281"/>
      <x:c r="U9" s="281"/>
      <x:c r="V9" s="281"/>
      <x:c r="W9" s="281"/>
      <x:c r="X9" s="281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323" t="str">
        <x:v>Direct Price Formula</x:v>
      </x:c>
      <x:c r="B10" s="401"/>
      <x:c r="C10" s="401" t="str"/>
      <x:c r="D10" s="401" t="str">
        <x:v>Minimum direct price</x:v>
      </x:c>
      <x:c r="E10" s="401" t="str">
        <x:v>Gift Story 05_PRICING_MODEL.md</x:v>
      </x:c>
      <x:c r="F10" s="401" t="str">
        <x:v>Review after platform selection</x:v>
      </x:c>
      <x:c r="G10" s="325" t="str">
        <x:v>Formula text: (Total Cost × 1.5 + Fixed Fee) ÷ (1 - Payment %)</x:v>
      </x:c>
      <x:c r="H10" s="281"/>
      <x:c r="I10" s="281"/>
      <x:c r="J10" s="281"/>
      <x:c r="K10" s="281"/>
      <x:c r="L10" s="281"/>
      <x:c r="M10" s="281"/>
      <x:c r="N10" s="281"/>
      <x:c r="O10" s="281"/>
      <x:c r="P10" s="281"/>
      <x:c r="Q10" s="281"/>
      <x:c r="R10" s="281"/>
      <x:c r="S10" s="281"/>
      <x:c r="T10" s="281"/>
      <x:c r="U10" s="281"/>
      <x:c r="V10" s="281"/>
      <x:c r="W10" s="281"/>
      <x:c r="X10" s="281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332" t="str">
        <x:v>App Price Formula</x:v>
      </x:c>
      <x:c r="B11" s="403"/>
      <x:c r="C11" s="403" t="str"/>
      <x:c r="D11" s="403" t="str">
        <x:v>Minimum app price</x:v>
      </x:c>
      <x:c r="E11" s="403" t="str">
        <x:v>Gift Story 05_PRICING_MODEL.md</x:v>
      </x:c>
      <x:c r="F11" s="403" t="str">
        <x:v>Review per platform contract</x:v>
      </x:c>
      <x:c r="G11" s="334" t="str">
        <x:v>Formula text: (Total Cost × 1.5) ÷ (1 - App Commission %)</x:v>
      </x:c>
      <x:c r="H11" s="281"/>
      <x:c r="I11" s="281"/>
      <x:c r="J11" s="281"/>
      <x:c r="K11" s="281"/>
      <x:c r="L11" s="281"/>
      <x:c r="M11" s="281"/>
      <x:c r="N11" s="281"/>
      <x:c r="O11" s="281"/>
      <x:c r="P11" s="281"/>
      <x:c r="Q11" s="281"/>
      <x:c r="R11" s="281"/>
      <x:c r="S11" s="281"/>
      <x:c r="T11" s="281"/>
      <x:c r="U11" s="281"/>
      <x:c r="V11" s="281"/>
      <x:c r="W11" s="281"/>
      <x:c r="X11" s="281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281"/>
      <x:c r="B12" s="281"/>
      <x:c r="C12" s="281"/>
      <x:c r="D12" s="281"/>
      <x:c r="E12" s="281"/>
      <x:c r="F12" s="281"/>
      <x:c r="G12" s="281"/>
      <x:c r="H12" s="281"/>
      <x:c r="I12" s="281"/>
      <x:c r="J12" s="281"/>
      <x:c r="K12" s="281"/>
      <x:c r="L12" s="281"/>
      <x:c r="M12" s="281"/>
      <x:c r="N12" s="281"/>
      <x:c r="O12" s="281"/>
      <x:c r="P12" s="281"/>
      <x:c r="Q12" s="281"/>
      <x:c r="R12" s="281"/>
      <x:c r="S12" s="281"/>
      <x:c r="T12" s="281"/>
      <x:c r="U12" s="281"/>
      <x:c r="V12" s="281"/>
      <x:c r="W12" s="281"/>
      <x:c r="X12" s="281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281"/>
      <x:c r="B13" s="281"/>
      <x:c r="C13" s="281"/>
      <x:c r="D13" s="281"/>
      <x:c r="E13" s="281"/>
      <x:c r="F13" s="281"/>
      <x:c r="G13" s="281"/>
      <x:c r="H13" s="281"/>
      <x:c r="I13" s="281"/>
      <x:c r="J13" s="281"/>
      <x:c r="K13" s="281"/>
      <x:c r="L13" s="281"/>
      <x:c r="M13" s="281"/>
      <x:c r="N13" s="281"/>
      <x:c r="O13" s="281"/>
      <x:c r="P13" s="281"/>
      <x:c r="Q13" s="281"/>
      <x:c r="R13" s="281"/>
      <x:c r="S13" s="281"/>
      <x:c r="T13" s="281"/>
      <x:c r="U13" s="281"/>
      <x:c r="V13" s="281"/>
      <x:c r="W13" s="281"/>
      <x:c r="X13" s="281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281"/>
      <x:c r="B14" s="281"/>
      <x:c r="C14" s="281"/>
      <x:c r="D14" s="281"/>
      <x:c r="E14" s="281"/>
      <x:c r="F14" s="281"/>
      <x:c r="G14" s="281"/>
      <x:c r="H14" s="281"/>
      <x:c r="I14" s="281"/>
      <x:c r="J14" s="281"/>
      <x:c r="K14" s="281"/>
      <x:c r="L14" s="281"/>
      <x:c r="M14" s="281"/>
      <x:c r="N14" s="281"/>
      <x:c r="O14" s="281"/>
      <x:c r="P14" s="281"/>
      <x:c r="Q14" s="281"/>
      <x:c r="R14" s="281"/>
      <x:c r="S14" s="281"/>
      <x:c r="T14" s="281"/>
      <x:c r="U14" s="281"/>
      <x:c r="V14" s="281"/>
      <x:c r="W14" s="281"/>
      <x:c r="X14" s="281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>
      <x:c r="A15" s="281"/>
      <x:c r="B15" s="281"/>
      <x:c r="C15" s="281"/>
      <x:c r="D15" s="281"/>
      <x:c r="E15" s="281"/>
      <x:c r="F15" s="281"/>
      <x:c r="G15" s="281"/>
      <x:c r="H15" s="281"/>
      <x:c r="I15" s="281"/>
      <x:c r="J15" s="281"/>
      <x:c r="K15" s="281"/>
      <x:c r="L15" s="281"/>
      <x:c r="M15" s="281"/>
      <x:c r="N15" s="281"/>
      <x:c r="O15" s="281"/>
      <x:c r="P15" s="281"/>
      <x:c r="Q15" s="281"/>
      <x:c r="R15" s="281"/>
      <x:c r="S15" s="281"/>
      <x:c r="T15" s="281"/>
      <x:c r="U15" s="281"/>
      <x:c r="V15" s="281"/>
      <x:c r="W15" s="281"/>
      <x:c r="X15" s="281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281"/>
      <x:c r="B16" s="281"/>
      <x:c r="C16" s="281"/>
      <x:c r="D16" s="281"/>
      <x:c r="E16" s="281"/>
      <x:c r="F16" s="281"/>
      <x:c r="G16" s="281"/>
      <x:c r="H16" s="281"/>
      <x:c r="I16" s="281"/>
      <x:c r="J16" s="281"/>
      <x:c r="K16" s="281"/>
      <x:c r="L16" s="281"/>
      <x:c r="M16" s="281"/>
      <x:c r="N16" s="281"/>
      <x:c r="O16" s="281"/>
      <x:c r="P16" s="281"/>
      <x:c r="Q16" s="281"/>
      <x:c r="R16" s="281"/>
      <x:c r="S16" s="281"/>
      <x:c r="T16" s="281"/>
      <x:c r="U16" s="281"/>
      <x:c r="V16" s="281"/>
      <x:c r="W16" s="281"/>
      <x:c r="X16" s="281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281"/>
      <x:c r="B17" s="281"/>
      <x:c r="C17" s="281"/>
      <x:c r="D17" s="281"/>
      <x:c r="E17" s="281"/>
      <x:c r="F17" s="281"/>
      <x:c r="G17" s="281"/>
      <x:c r="H17" s="281"/>
      <x:c r="I17" s="281"/>
      <x:c r="J17" s="281"/>
      <x:c r="K17" s="281"/>
      <x:c r="L17" s="281"/>
      <x:c r="M17" s="281"/>
      <x:c r="N17" s="281"/>
      <x:c r="O17" s="281"/>
      <x:c r="P17" s="281"/>
      <x:c r="Q17" s="281"/>
      <x:c r="R17" s="281"/>
      <x:c r="S17" s="281"/>
      <x:c r="T17" s="281"/>
      <x:c r="U17" s="281"/>
      <x:c r="V17" s="281"/>
      <x:c r="W17" s="281"/>
      <x:c r="X17" s="281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281"/>
      <x:c r="B18" s="281"/>
      <x:c r="C18" s="281"/>
      <x:c r="D18" s="281"/>
      <x:c r="E18" s="281"/>
      <x:c r="F18" s="281"/>
      <x:c r="G18" s="281"/>
      <x:c r="H18" s="281"/>
      <x:c r="I18" s="281"/>
      <x:c r="J18" s="281"/>
      <x:c r="K18" s="281"/>
      <x:c r="L18" s="281"/>
      <x:c r="M18" s="281"/>
      <x:c r="N18" s="281"/>
      <x:c r="O18" s="281"/>
      <x:c r="P18" s="281"/>
      <x:c r="Q18" s="281"/>
      <x:c r="R18" s="281"/>
      <x:c r="S18" s="281"/>
      <x:c r="T18" s="281"/>
      <x:c r="U18" s="281"/>
      <x:c r="V18" s="281"/>
      <x:c r="W18" s="281"/>
      <x:c r="X18" s="281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281"/>
      <x:c r="B19" s="281"/>
      <x:c r="C19" s="281"/>
      <x:c r="D19" s="281"/>
      <x:c r="E19" s="281"/>
      <x:c r="F19" s="281"/>
      <x:c r="G19" s="281"/>
      <x:c r="H19" s="281"/>
      <x:c r="I19" s="281"/>
      <x:c r="J19" s="281"/>
      <x:c r="K19" s="281"/>
      <x:c r="L19" s="281"/>
      <x:c r="M19" s="281"/>
      <x:c r="N19" s="281"/>
      <x:c r="O19" s="281"/>
      <x:c r="P19" s="281"/>
      <x:c r="Q19" s="281"/>
      <x:c r="R19" s="281"/>
      <x:c r="S19" s="281"/>
      <x:c r="T19" s="281"/>
      <x:c r="U19" s="281"/>
      <x:c r="V19" s="281"/>
      <x:c r="W19" s="281"/>
      <x:c r="X19" s="281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281"/>
      <x:c r="B20" s="281"/>
      <x:c r="C20" s="281"/>
      <x:c r="D20" s="281"/>
      <x:c r="E20" s="281"/>
      <x:c r="F20" s="281"/>
      <x:c r="G20" s="281"/>
      <x:c r="H20" s="281"/>
      <x:c r="I20" s="281"/>
      <x:c r="J20" s="281"/>
      <x:c r="K20" s="281"/>
      <x:c r="L20" s="281"/>
      <x:c r="M20" s="281"/>
      <x:c r="N20" s="281"/>
      <x:c r="O20" s="281"/>
      <x:c r="P20" s="281"/>
      <x:c r="Q20" s="281"/>
      <x:c r="R20" s="281"/>
      <x:c r="S20" s="281"/>
      <x:c r="T20" s="281"/>
      <x:c r="U20" s="281"/>
      <x:c r="V20" s="281"/>
      <x:c r="W20" s="281"/>
      <x:c r="X20" s="281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281"/>
      <x:c r="B21" s="281"/>
      <x:c r="C21" s="281"/>
      <x:c r="D21" s="281"/>
      <x:c r="E21" s="281"/>
      <x:c r="F21" s="281"/>
      <x:c r="G21" s="281"/>
      <x:c r="H21" s="281"/>
      <x:c r="I21" s="281"/>
      <x:c r="J21" s="281"/>
      <x:c r="K21" s="281"/>
      <x:c r="L21" s="281"/>
      <x:c r="M21" s="281"/>
      <x:c r="N21" s="281"/>
      <x:c r="O21" s="281"/>
      <x:c r="P21" s="281"/>
      <x:c r="Q21" s="281"/>
      <x:c r="R21" s="281"/>
      <x:c r="S21" s="281"/>
      <x:c r="T21" s="281"/>
      <x:c r="U21" s="281"/>
      <x:c r="V21" s="281"/>
      <x:c r="W21" s="281"/>
      <x:c r="X21" s="281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281"/>
      <x:c r="B22" s="281"/>
      <x:c r="C22" s="281"/>
      <x:c r="D22" s="281"/>
      <x:c r="E22" s="281"/>
      <x:c r="F22" s="281"/>
      <x:c r="G22" s="281"/>
      <x:c r="H22" s="281"/>
      <x:c r="I22" s="281"/>
      <x:c r="J22" s="281"/>
      <x:c r="K22" s="281"/>
      <x:c r="L22" s="281"/>
      <x:c r="M22" s="281"/>
      <x:c r="N22" s="281"/>
      <x:c r="O22" s="281"/>
      <x:c r="P22" s="281"/>
      <x:c r="Q22" s="281"/>
      <x:c r="R22" s="281"/>
      <x:c r="S22" s="281"/>
      <x:c r="T22" s="281"/>
      <x:c r="U22" s="281"/>
      <x:c r="V22" s="281"/>
      <x:c r="W22" s="281"/>
      <x:c r="X22" s="281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281"/>
      <x:c r="B23" s="281"/>
      <x:c r="C23" s="281"/>
      <x:c r="D23" s="281"/>
      <x:c r="E23" s="281"/>
      <x:c r="F23" s="281"/>
      <x:c r="G23" s="281"/>
      <x:c r="H23" s="281"/>
      <x:c r="I23" s="281"/>
      <x:c r="J23" s="281"/>
      <x:c r="K23" s="281"/>
      <x:c r="L23" s="281"/>
      <x:c r="M23" s="281"/>
      <x:c r="N23" s="281"/>
      <x:c r="O23" s="281"/>
      <x:c r="P23" s="281"/>
      <x:c r="Q23" s="281"/>
      <x:c r="R23" s="281"/>
      <x:c r="S23" s="281"/>
      <x:c r="T23" s="281"/>
      <x:c r="U23" s="281"/>
      <x:c r="V23" s="281"/>
      <x:c r="W23" s="281"/>
      <x:c r="X23" s="281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281"/>
      <x:c r="B24" s="281"/>
      <x:c r="C24" s="281"/>
      <x:c r="D24" s="281"/>
      <x:c r="E24" s="281"/>
      <x:c r="F24" s="281"/>
      <x:c r="G24" s="281"/>
      <x:c r="H24" s="281"/>
      <x:c r="I24" s="281"/>
      <x:c r="J24" s="281"/>
      <x:c r="K24" s="281"/>
      <x:c r="L24" s="281"/>
      <x:c r="M24" s="281"/>
      <x:c r="N24" s="281"/>
      <x:c r="O24" s="281"/>
      <x:c r="P24" s="281"/>
      <x:c r="Q24" s="281"/>
      <x:c r="R24" s="281"/>
      <x:c r="S24" s="281"/>
      <x:c r="T24" s="281"/>
      <x:c r="U24" s="281"/>
      <x:c r="V24" s="281"/>
      <x:c r="W24" s="281"/>
      <x:c r="X24" s="281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281"/>
      <x:c r="B25" s="281"/>
      <x:c r="C25" s="281"/>
      <x:c r="D25" s="281"/>
      <x:c r="E25" s="281"/>
      <x:c r="F25" s="281"/>
      <x:c r="G25" s="281"/>
      <x:c r="H25" s="281"/>
      <x:c r="I25" s="281"/>
      <x:c r="J25" s="281"/>
      <x:c r="K25" s="281"/>
      <x:c r="L25" s="281"/>
      <x:c r="M25" s="281"/>
      <x:c r="N25" s="281"/>
      <x:c r="O25" s="281"/>
      <x:c r="P25" s="281"/>
      <x:c r="Q25" s="281"/>
      <x:c r="R25" s="281"/>
      <x:c r="S25" s="281"/>
      <x:c r="T25" s="281"/>
      <x:c r="U25" s="281"/>
      <x:c r="V25" s="281"/>
      <x:c r="W25" s="281"/>
      <x:c r="X25" s="281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281"/>
      <x:c r="B26" s="281"/>
      <x:c r="C26" s="281"/>
      <x:c r="D26" s="281"/>
      <x:c r="E26" s="281"/>
      <x:c r="F26" s="281"/>
      <x:c r="G26" s="281"/>
      <x:c r="H26" s="281"/>
      <x:c r="I26" s="281"/>
      <x:c r="J26" s="281"/>
      <x:c r="K26" s="281"/>
      <x:c r="L26" s="281"/>
      <x:c r="M26" s="281"/>
      <x:c r="N26" s="281"/>
      <x:c r="O26" s="281"/>
      <x:c r="P26" s="281"/>
      <x:c r="Q26" s="281"/>
      <x:c r="R26" s="281"/>
      <x:c r="S26" s="281"/>
      <x:c r="T26" s="281"/>
      <x:c r="U26" s="281"/>
      <x:c r="V26" s="281"/>
      <x:c r="W26" s="281"/>
      <x:c r="X26" s="281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281"/>
      <x:c r="B27" s="281"/>
      <x:c r="C27" s="281"/>
      <x:c r="D27" s="281"/>
      <x:c r="E27" s="281"/>
      <x:c r="F27" s="281"/>
      <x:c r="G27" s="281"/>
      <x:c r="H27" s="281"/>
      <x:c r="I27" s="281"/>
      <x:c r="J27" s="281"/>
      <x:c r="K27" s="281"/>
      <x:c r="L27" s="281"/>
      <x:c r="M27" s="281"/>
      <x:c r="N27" s="281"/>
      <x:c r="O27" s="281"/>
      <x:c r="P27" s="281"/>
      <x:c r="Q27" s="281"/>
      <x:c r="R27" s="281"/>
      <x:c r="S27" s="281"/>
      <x:c r="T27" s="281"/>
      <x:c r="U27" s="281"/>
      <x:c r="V27" s="281"/>
      <x:c r="W27" s="281"/>
      <x:c r="X27" s="281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281"/>
      <x:c r="B28" s="281"/>
      <x:c r="C28" s="281"/>
      <x:c r="D28" s="281"/>
      <x:c r="E28" s="281"/>
      <x:c r="F28" s="281"/>
      <x:c r="G28" s="281"/>
      <x:c r="H28" s="281"/>
      <x:c r="I28" s="281"/>
      <x:c r="J28" s="281"/>
      <x:c r="K28" s="281"/>
      <x:c r="L28" s="281"/>
      <x:c r="M28" s="281"/>
      <x:c r="N28" s="281"/>
      <x:c r="O28" s="281"/>
      <x:c r="P28" s="281"/>
      <x:c r="Q28" s="281"/>
      <x:c r="R28" s="281"/>
      <x:c r="S28" s="281"/>
      <x:c r="T28" s="281"/>
      <x:c r="U28" s="281"/>
      <x:c r="V28" s="281"/>
      <x:c r="W28" s="281"/>
      <x:c r="X28" s="281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281"/>
      <x:c r="B29" s="281"/>
      <x:c r="C29" s="281"/>
      <x:c r="D29" s="281"/>
      <x:c r="E29" s="281"/>
      <x:c r="F29" s="281"/>
      <x:c r="G29" s="281"/>
      <x:c r="H29" s="281"/>
      <x:c r="I29" s="281"/>
      <x:c r="J29" s="281"/>
      <x:c r="K29" s="281"/>
      <x:c r="L29" s="281"/>
      <x:c r="M29" s="281"/>
      <x:c r="N29" s="281"/>
      <x:c r="O29" s="281"/>
      <x:c r="P29" s="281"/>
      <x:c r="Q29" s="281"/>
      <x:c r="R29" s="281"/>
      <x:c r="S29" s="281"/>
      <x:c r="T29" s="281"/>
      <x:c r="U29" s="281"/>
      <x:c r="V29" s="281"/>
      <x:c r="W29" s="281"/>
      <x:c r="X29" s="281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281"/>
      <x:c r="B30" s="281"/>
      <x:c r="C30" s="281"/>
      <x:c r="D30" s="281"/>
      <x:c r="E30" s="281"/>
      <x:c r="F30" s="281"/>
      <x:c r="G30" s="281"/>
      <x:c r="H30" s="281"/>
      <x:c r="I30" s="281"/>
      <x:c r="J30" s="281"/>
      <x:c r="K30" s="281"/>
      <x:c r="L30" s="281"/>
      <x:c r="M30" s="281"/>
      <x:c r="N30" s="281"/>
      <x:c r="O30" s="281"/>
      <x:c r="P30" s="281"/>
      <x:c r="Q30" s="281"/>
      <x:c r="R30" s="281"/>
      <x:c r="S30" s="281"/>
      <x:c r="T30" s="281"/>
      <x:c r="U30" s="281"/>
      <x:c r="V30" s="281"/>
      <x:c r="W30" s="281"/>
      <x:c r="X30" s="281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281"/>
      <x:c r="B31" s="281"/>
      <x:c r="C31" s="281"/>
      <x:c r="D31" s="281"/>
      <x:c r="E31" s="281"/>
      <x:c r="F31" s="281"/>
      <x:c r="G31" s="281"/>
      <x:c r="H31" s="281"/>
      <x:c r="I31" s="281"/>
      <x:c r="J31" s="281"/>
      <x:c r="K31" s="281"/>
      <x:c r="L31" s="281"/>
      <x:c r="M31" s="281"/>
      <x:c r="N31" s="281"/>
      <x:c r="O31" s="281"/>
      <x:c r="P31" s="281"/>
      <x:c r="Q31" s="281"/>
      <x:c r="R31" s="281"/>
      <x:c r="S31" s="281"/>
      <x:c r="T31" s="281"/>
      <x:c r="U31" s="281"/>
      <x:c r="V31" s="281"/>
      <x:c r="W31" s="281"/>
      <x:c r="X31" s="281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281"/>
      <x:c r="B32" s="281"/>
      <x:c r="C32" s="281"/>
      <x:c r="D32" s="281"/>
      <x:c r="E32" s="281"/>
      <x:c r="F32" s="281"/>
      <x:c r="G32" s="281"/>
      <x:c r="H32" s="281"/>
      <x:c r="I32" s="281"/>
      <x:c r="J32" s="281"/>
      <x:c r="K32" s="281"/>
      <x:c r="L32" s="281"/>
      <x:c r="M32" s="281"/>
      <x:c r="N32" s="281"/>
      <x:c r="O32" s="281"/>
      <x:c r="P32" s="281"/>
      <x:c r="Q32" s="281"/>
      <x:c r="R32" s="281"/>
      <x:c r="S32" s="281"/>
      <x:c r="T32" s="281"/>
      <x:c r="U32" s="281"/>
      <x:c r="V32" s="281"/>
      <x:c r="W32" s="281"/>
      <x:c r="X32" s="281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281"/>
      <x:c r="B33" s="281"/>
      <x:c r="C33" s="281"/>
      <x:c r="D33" s="281"/>
      <x:c r="E33" s="281"/>
      <x:c r="F33" s="281"/>
      <x:c r="G33" s="281"/>
      <x:c r="H33" s="281"/>
      <x:c r="I33" s="281"/>
      <x:c r="J33" s="281"/>
      <x:c r="K33" s="281"/>
      <x:c r="L33" s="281"/>
      <x:c r="M33" s="281"/>
      <x:c r="N33" s="281"/>
      <x:c r="O33" s="281"/>
      <x:c r="P33" s="281"/>
      <x:c r="Q33" s="281"/>
      <x:c r="R33" s="281"/>
      <x:c r="S33" s="281"/>
      <x:c r="T33" s="281"/>
      <x:c r="U33" s="281"/>
      <x:c r="V33" s="281"/>
      <x:c r="W33" s="281"/>
      <x:c r="X33" s="281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281"/>
      <x:c r="B34" s="281"/>
      <x:c r="C34" s="281"/>
      <x:c r="D34" s="281"/>
      <x:c r="E34" s="281"/>
      <x:c r="F34" s="281"/>
      <x:c r="G34" s="281"/>
      <x:c r="H34" s="281"/>
      <x:c r="I34" s="281"/>
      <x:c r="J34" s="281"/>
      <x:c r="K34" s="281"/>
      <x:c r="L34" s="281"/>
      <x:c r="M34" s="281"/>
      <x:c r="N34" s="281"/>
      <x:c r="O34" s="281"/>
      <x:c r="P34" s="281"/>
      <x:c r="Q34" s="281"/>
      <x:c r="R34" s="281"/>
      <x:c r="S34" s="281"/>
      <x:c r="T34" s="281"/>
      <x:c r="U34" s="281"/>
      <x:c r="V34" s="281"/>
      <x:c r="W34" s="281"/>
      <x:c r="X34" s="281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281"/>
      <x:c r="B35" s="281"/>
      <x:c r="C35" s="281"/>
      <x:c r="D35" s="281"/>
      <x:c r="E35" s="281"/>
      <x:c r="F35" s="281"/>
      <x:c r="G35" s="281"/>
      <x:c r="H35" s="281"/>
      <x:c r="I35" s="281"/>
      <x:c r="J35" s="281"/>
      <x:c r="K35" s="281"/>
      <x:c r="L35" s="281"/>
      <x:c r="M35" s="281"/>
      <x:c r="N35" s="281"/>
      <x:c r="O35" s="281"/>
      <x:c r="P35" s="281"/>
      <x:c r="Q35" s="281"/>
      <x:c r="R35" s="281"/>
      <x:c r="S35" s="281"/>
      <x:c r="T35" s="281"/>
      <x:c r="U35" s="281"/>
      <x:c r="V35" s="281"/>
      <x:c r="W35" s="281"/>
      <x:c r="X35" s="281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281"/>
      <x:c r="B36" s="281"/>
      <x:c r="C36" s="281"/>
      <x:c r="D36" s="281"/>
      <x:c r="E36" s="281"/>
      <x:c r="F36" s="281"/>
      <x:c r="G36" s="281"/>
      <x:c r="H36" s="281"/>
      <x:c r="I36" s="281"/>
      <x:c r="J36" s="281"/>
      <x:c r="K36" s="281"/>
      <x:c r="L36" s="281"/>
      <x:c r="M36" s="281"/>
      <x:c r="N36" s="281"/>
      <x:c r="O36" s="281"/>
      <x:c r="P36" s="281"/>
      <x:c r="Q36" s="281"/>
      <x:c r="R36" s="281"/>
      <x:c r="S36" s="281"/>
      <x:c r="T36" s="281"/>
      <x:c r="U36" s="281"/>
      <x:c r="V36" s="281"/>
      <x:c r="W36" s="281"/>
      <x:c r="X36" s="281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281"/>
      <x:c r="B37" s="281"/>
      <x:c r="C37" s="281"/>
      <x:c r="D37" s="281"/>
      <x:c r="E37" s="281"/>
      <x:c r="F37" s="281"/>
      <x:c r="G37" s="281"/>
      <x:c r="H37" s="281"/>
      <x:c r="I37" s="281"/>
      <x:c r="J37" s="281"/>
      <x:c r="K37" s="281"/>
      <x:c r="L37" s="281"/>
      <x:c r="M37" s="281"/>
      <x:c r="N37" s="281"/>
      <x:c r="O37" s="281"/>
      <x:c r="P37" s="281"/>
      <x:c r="Q37" s="281"/>
      <x:c r="R37" s="281"/>
      <x:c r="S37" s="281"/>
      <x:c r="T37" s="281"/>
      <x:c r="U37" s="281"/>
      <x:c r="V37" s="281"/>
      <x:c r="W37" s="281"/>
      <x:c r="X37" s="281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281"/>
      <x:c r="B38" s="281"/>
      <x:c r="C38" s="281"/>
      <x:c r="D38" s="281"/>
      <x:c r="E38" s="281"/>
      <x:c r="F38" s="281"/>
      <x:c r="G38" s="281"/>
      <x:c r="H38" s="281"/>
      <x:c r="I38" s="281"/>
      <x:c r="J38" s="281"/>
      <x:c r="K38" s="281"/>
      <x:c r="L38" s="281"/>
      <x:c r="M38" s="281"/>
      <x:c r="N38" s="281"/>
      <x:c r="O38" s="281"/>
      <x:c r="P38" s="281"/>
      <x:c r="Q38" s="281"/>
      <x:c r="R38" s="281"/>
      <x:c r="S38" s="281"/>
      <x:c r="T38" s="281"/>
      <x:c r="U38" s="281"/>
      <x:c r="V38" s="281"/>
      <x:c r="W38" s="281"/>
      <x:c r="X38" s="281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281"/>
      <x:c r="B39" s="281"/>
      <x:c r="C39" s="281"/>
      <x:c r="D39" s="281"/>
      <x:c r="E39" s="281"/>
      <x:c r="F39" s="281"/>
      <x:c r="G39" s="281"/>
      <x:c r="H39" s="281"/>
      <x:c r="I39" s="281"/>
      <x:c r="J39" s="281"/>
      <x:c r="K39" s="281"/>
      <x:c r="L39" s="281"/>
      <x:c r="M39" s="281"/>
      <x:c r="N39" s="281"/>
      <x:c r="O39" s="281"/>
      <x:c r="P39" s="281"/>
      <x:c r="Q39" s="281"/>
      <x:c r="R39" s="281"/>
      <x:c r="S39" s="281"/>
      <x:c r="T39" s="281"/>
      <x:c r="U39" s="281"/>
      <x:c r="V39" s="281"/>
      <x:c r="W39" s="281"/>
      <x:c r="X39" s="281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281"/>
      <x:c r="B40" s="281"/>
      <x:c r="C40" s="281"/>
      <x:c r="D40" s="281"/>
      <x:c r="E40" s="281"/>
      <x:c r="F40" s="281"/>
      <x:c r="G40" s="281"/>
      <x:c r="H40" s="281"/>
      <x:c r="I40" s="281"/>
      <x:c r="J40" s="281"/>
      <x:c r="K40" s="281"/>
      <x:c r="L40" s="281"/>
      <x:c r="M40" s="281"/>
      <x:c r="N40" s="281"/>
      <x:c r="O40" s="281"/>
      <x:c r="P40" s="281"/>
      <x:c r="Q40" s="281"/>
      <x:c r="R40" s="281"/>
      <x:c r="S40" s="281"/>
      <x:c r="T40" s="281"/>
      <x:c r="U40" s="281"/>
      <x:c r="V40" s="281"/>
      <x:c r="W40" s="281"/>
      <x:c r="X40" s="281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281"/>
      <x:c r="B41" s="281"/>
      <x:c r="C41" s="281"/>
      <x:c r="D41" s="281"/>
      <x:c r="E41" s="281"/>
      <x:c r="F41" s="281"/>
      <x:c r="G41" s="281"/>
      <x:c r="H41" s="281"/>
      <x:c r="I41" s="281"/>
      <x:c r="J41" s="281"/>
      <x:c r="K41" s="281"/>
      <x:c r="L41" s="281"/>
      <x:c r="M41" s="281"/>
      <x:c r="N41" s="281"/>
      <x:c r="O41" s="281"/>
      <x:c r="P41" s="281"/>
      <x:c r="Q41" s="281"/>
      <x:c r="R41" s="281"/>
      <x:c r="S41" s="281"/>
      <x:c r="T41" s="281"/>
      <x:c r="U41" s="281"/>
      <x:c r="V41" s="281"/>
      <x:c r="W41" s="281"/>
      <x:c r="X41" s="281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281"/>
      <x:c r="B42" s="281"/>
      <x:c r="C42" s="281"/>
      <x:c r="D42" s="281"/>
      <x:c r="E42" s="281"/>
      <x:c r="F42" s="281"/>
      <x:c r="G42" s="281"/>
      <x:c r="H42" s="281"/>
      <x:c r="I42" s="281"/>
      <x:c r="J42" s="281"/>
      <x:c r="K42" s="281"/>
      <x:c r="L42" s="281"/>
      <x:c r="M42" s="281"/>
      <x:c r="N42" s="281"/>
      <x:c r="O42" s="281"/>
      <x:c r="P42" s="281"/>
      <x:c r="Q42" s="281"/>
      <x:c r="R42" s="281"/>
      <x:c r="S42" s="281"/>
      <x:c r="T42" s="281"/>
      <x:c r="U42" s="281"/>
      <x:c r="V42" s="281"/>
      <x:c r="W42" s="281"/>
      <x:c r="X42" s="281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281"/>
      <x:c r="B43" s="281"/>
      <x:c r="C43" s="281"/>
      <x:c r="D43" s="281"/>
      <x:c r="E43" s="281"/>
      <x:c r="F43" s="281"/>
      <x:c r="G43" s="281"/>
      <x:c r="H43" s="281"/>
      <x:c r="I43" s="281"/>
      <x:c r="J43" s="281"/>
      <x:c r="K43" s="281"/>
      <x:c r="L43" s="281"/>
      <x:c r="M43" s="281"/>
      <x:c r="N43" s="281"/>
      <x:c r="O43" s="281"/>
      <x:c r="P43" s="281"/>
      <x:c r="Q43" s="281"/>
      <x:c r="R43" s="281"/>
      <x:c r="S43" s="281"/>
      <x:c r="T43" s="281"/>
      <x:c r="U43" s="281"/>
      <x:c r="V43" s="281"/>
      <x:c r="W43" s="281"/>
      <x:c r="X43" s="281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281"/>
      <x:c r="B44" s="281"/>
      <x:c r="C44" s="281"/>
      <x:c r="D44" s="281"/>
      <x:c r="E44" s="281"/>
      <x:c r="F44" s="281"/>
      <x:c r="G44" s="281"/>
      <x:c r="H44" s="281"/>
      <x:c r="I44" s="281"/>
      <x:c r="J44" s="281"/>
      <x:c r="K44" s="281"/>
      <x:c r="L44" s="281"/>
      <x:c r="M44" s="281"/>
      <x:c r="N44" s="281"/>
      <x:c r="O44" s="281"/>
      <x:c r="P44" s="281"/>
      <x:c r="Q44" s="281"/>
      <x:c r="R44" s="281"/>
      <x:c r="S44" s="281"/>
      <x:c r="T44" s="281"/>
      <x:c r="U44" s="281"/>
      <x:c r="V44" s="281"/>
      <x:c r="W44" s="281"/>
      <x:c r="X44" s="281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281"/>
      <x:c r="B45" s="281"/>
      <x:c r="C45" s="281"/>
      <x:c r="D45" s="281"/>
      <x:c r="E45" s="281"/>
      <x:c r="F45" s="281"/>
      <x:c r="G45" s="281"/>
      <x:c r="H45" s="281"/>
      <x:c r="I45" s="281"/>
      <x:c r="J45" s="281"/>
      <x:c r="K45" s="281"/>
      <x:c r="L45" s="281"/>
      <x:c r="M45" s="281"/>
      <x:c r="N45" s="281"/>
      <x:c r="O45" s="281"/>
      <x:c r="P45" s="281"/>
      <x:c r="Q45" s="281"/>
      <x:c r="R45" s="281"/>
      <x:c r="S45" s="281"/>
      <x:c r="T45" s="281"/>
      <x:c r="U45" s="281"/>
      <x:c r="V45" s="281"/>
      <x:c r="W45" s="281"/>
      <x:c r="X45" s="281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281"/>
      <x:c r="B46" s="281"/>
      <x:c r="C46" s="281"/>
      <x:c r="D46" s="281"/>
      <x:c r="E46" s="281"/>
      <x:c r="F46" s="281"/>
      <x:c r="G46" s="281"/>
      <x:c r="H46" s="281"/>
      <x:c r="I46" s="281"/>
      <x:c r="J46" s="281"/>
      <x:c r="K46" s="281"/>
      <x:c r="L46" s="281"/>
      <x:c r="M46" s="281"/>
      <x:c r="N46" s="281"/>
      <x:c r="O46" s="281"/>
      <x:c r="P46" s="281"/>
      <x:c r="Q46" s="281"/>
      <x:c r="R46" s="281"/>
      <x:c r="S46" s="281"/>
      <x:c r="T46" s="281"/>
      <x:c r="U46" s="281"/>
      <x:c r="V46" s="281"/>
      <x:c r="W46" s="281"/>
      <x:c r="X46" s="281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281"/>
      <x:c r="B47" s="281"/>
      <x:c r="C47" s="281"/>
      <x:c r="D47" s="281"/>
      <x:c r="E47" s="281"/>
      <x:c r="F47" s="281"/>
      <x:c r="G47" s="281"/>
      <x:c r="H47" s="281"/>
      <x:c r="I47" s="281"/>
      <x:c r="J47" s="281"/>
      <x:c r="K47" s="281"/>
      <x:c r="L47" s="281"/>
      <x:c r="M47" s="281"/>
      <x:c r="N47" s="281"/>
      <x:c r="O47" s="281"/>
      <x:c r="P47" s="281"/>
      <x:c r="Q47" s="281"/>
      <x:c r="R47" s="281"/>
      <x:c r="S47" s="281"/>
      <x:c r="T47" s="281"/>
      <x:c r="U47" s="281"/>
      <x:c r="V47" s="281"/>
      <x:c r="W47" s="281"/>
      <x:c r="X47" s="281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281"/>
      <x:c r="B48" s="281"/>
      <x:c r="C48" s="281"/>
      <x:c r="D48" s="281"/>
      <x:c r="E48" s="281"/>
      <x:c r="F48" s="281"/>
      <x:c r="G48" s="281"/>
      <x:c r="H48" s="281"/>
      <x:c r="I48" s="281"/>
      <x:c r="J48" s="281"/>
      <x:c r="K48" s="281"/>
      <x:c r="L48" s="281"/>
      <x:c r="M48" s="281"/>
      <x:c r="N48" s="281"/>
      <x:c r="O48" s="281"/>
      <x:c r="P48" s="281"/>
      <x:c r="Q48" s="281"/>
      <x:c r="R48" s="281"/>
      <x:c r="S48" s="281"/>
      <x:c r="T48" s="281"/>
      <x:c r="U48" s="281"/>
      <x:c r="V48" s="281"/>
      <x:c r="W48" s="281"/>
      <x:c r="X48" s="281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281"/>
      <x:c r="B49" s="281"/>
      <x:c r="C49" s="281"/>
      <x:c r="D49" s="281"/>
      <x:c r="E49" s="281"/>
      <x:c r="F49" s="281"/>
      <x:c r="G49" s="281"/>
      <x:c r="H49" s="281"/>
      <x:c r="I49" s="281"/>
      <x:c r="J49" s="281"/>
      <x:c r="K49" s="281"/>
      <x:c r="L49" s="281"/>
      <x:c r="M49" s="281"/>
      <x:c r="N49" s="281"/>
      <x:c r="O49" s="281"/>
      <x:c r="P49" s="281"/>
      <x:c r="Q49" s="281"/>
      <x:c r="R49" s="281"/>
      <x:c r="S49" s="281"/>
      <x:c r="T49" s="281"/>
      <x:c r="U49" s="281"/>
      <x:c r="V49" s="281"/>
      <x:c r="W49" s="281"/>
      <x:c r="X49" s="281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281"/>
      <x:c r="B50" s="281"/>
      <x:c r="C50" s="281"/>
      <x:c r="D50" s="281"/>
      <x:c r="E50" s="281"/>
      <x:c r="F50" s="281"/>
      <x:c r="G50" s="281"/>
      <x:c r="H50" s="281"/>
      <x:c r="I50" s="281"/>
      <x:c r="J50" s="281"/>
      <x:c r="K50" s="281"/>
      <x:c r="L50" s="281"/>
      <x:c r="M50" s="281"/>
      <x:c r="N50" s="281"/>
      <x:c r="O50" s="281"/>
      <x:c r="P50" s="281"/>
      <x:c r="Q50" s="281"/>
      <x:c r="R50" s="281"/>
      <x:c r="S50" s="281"/>
      <x:c r="T50" s="281"/>
      <x:c r="U50" s="281"/>
      <x:c r="V50" s="281"/>
      <x:c r="W50" s="281"/>
      <x:c r="X50" s="281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281"/>
      <x:c r="B51" s="281"/>
      <x:c r="C51" s="281"/>
      <x:c r="D51" s="281"/>
      <x:c r="E51" s="281"/>
      <x:c r="F51" s="281"/>
      <x:c r="G51" s="281"/>
      <x:c r="H51" s="281"/>
      <x:c r="I51" s="281"/>
      <x:c r="J51" s="281"/>
      <x:c r="K51" s="281"/>
      <x:c r="L51" s="281"/>
      <x:c r="M51" s="281"/>
      <x:c r="N51" s="281"/>
      <x:c r="O51" s="281"/>
      <x:c r="P51" s="281"/>
      <x:c r="Q51" s="281"/>
      <x:c r="R51" s="281"/>
      <x:c r="S51" s="281"/>
      <x:c r="T51" s="281"/>
      <x:c r="U51" s="281"/>
      <x:c r="V51" s="281"/>
      <x:c r="W51" s="281"/>
      <x:c r="X51" s="281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281"/>
      <x:c r="B52" s="281"/>
      <x:c r="C52" s="281"/>
      <x:c r="D52" s="281"/>
      <x:c r="E52" s="281"/>
      <x:c r="F52" s="281"/>
      <x:c r="G52" s="281"/>
      <x:c r="H52" s="281"/>
      <x:c r="I52" s="281"/>
      <x:c r="J52" s="281"/>
      <x:c r="K52" s="281"/>
      <x:c r="L52" s="281"/>
      <x:c r="M52" s="281"/>
      <x:c r="N52" s="281"/>
      <x:c r="O52" s="281"/>
      <x:c r="P52" s="281"/>
      <x:c r="Q52" s="281"/>
      <x:c r="R52" s="281"/>
      <x:c r="S52" s="281"/>
      <x:c r="T52" s="281"/>
      <x:c r="U52" s="281"/>
      <x:c r="V52" s="281"/>
      <x:c r="W52" s="281"/>
      <x:c r="X52" s="281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281"/>
      <x:c r="B53" s="281"/>
      <x:c r="C53" s="281"/>
      <x:c r="D53" s="281"/>
      <x:c r="E53" s="281"/>
      <x:c r="F53" s="281"/>
      <x:c r="G53" s="281"/>
      <x:c r="H53" s="281"/>
      <x:c r="I53" s="281"/>
      <x:c r="J53" s="281"/>
      <x:c r="K53" s="281"/>
      <x:c r="L53" s="281"/>
      <x:c r="M53" s="281"/>
      <x:c r="N53" s="281"/>
      <x:c r="O53" s="281"/>
      <x:c r="P53" s="281"/>
      <x:c r="Q53" s="281"/>
      <x:c r="R53" s="281"/>
      <x:c r="S53" s="281"/>
      <x:c r="T53" s="281"/>
      <x:c r="U53" s="281"/>
      <x:c r="V53" s="281"/>
      <x:c r="W53" s="281"/>
      <x:c r="X53" s="281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281"/>
      <x:c r="B54" s="281"/>
      <x:c r="C54" s="281"/>
      <x:c r="D54" s="281"/>
      <x:c r="E54" s="281"/>
      <x:c r="F54" s="281"/>
      <x:c r="G54" s="281"/>
      <x:c r="H54" s="281"/>
      <x:c r="I54" s="281"/>
      <x:c r="J54" s="281"/>
      <x:c r="K54" s="281"/>
      <x:c r="L54" s="281"/>
      <x:c r="M54" s="281"/>
      <x:c r="N54" s="281"/>
      <x:c r="O54" s="281"/>
      <x:c r="P54" s="281"/>
      <x:c r="Q54" s="281"/>
      <x:c r="R54" s="281"/>
      <x:c r="S54" s="281"/>
      <x:c r="T54" s="281"/>
      <x:c r="U54" s="281"/>
      <x:c r="V54" s="281"/>
      <x:c r="W54" s="281"/>
      <x:c r="X54" s="281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281"/>
      <x:c r="B55" s="281"/>
      <x:c r="C55" s="281"/>
      <x:c r="D55" s="281"/>
      <x:c r="E55" s="281"/>
      <x:c r="F55" s="281"/>
      <x:c r="G55" s="281"/>
      <x:c r="H55" s="281"/>
      <x:c r="I55" s="281"/>
      <x:c r="J55" s="281"/>
      <x:c r="K55" s="281"/>
      <x:c r="L55" s="281"/>
      <x:c r="M55" s="281"/>
      <x:c r="N55" s="281"/>
      <x:c r="O55" s="281"/>
      <x:c r="P55" s="281"/>
      <x:c r="Q55" s="281"/>
      <x:c r="R55" s="281"/>
      <x:c r="S55" s="281"/>
      <x:c r="T55" s="281"/>
      <x:c r="U55" s="281"/>
      <x:c r="V55" s="281"/>
      <x:c r="W55" s="281"/>
      <x:c r="X55" s="281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281"/>
      <x:c r="B56" s="281"/>
      <x:c r="C56" s="281"/>
      <x:c r="D56" s="281"/>
      <x:c r="E56" s="281"/>
      <x:c r="F56" s="281"/>
      <x:c r="G56" s="281"/>
      <x:c r="H56" s="281"/>
      <x:c r="I56" s="281"/>
      <x:c r="J56" s="281"/>
      <x:c r="K56" s="281"/>
      <x:c r="L56" s="281"/>
      <x:c r="M56" s="281"/>
      <x:c r="N56" s="281"/>
      <x:c r="O56" s="281"/>
      <x:c r="P56" s="281"/>
      <x:c r="Q56" s="281"/>
      <x:c r="R56" s="281"/>
      <x:c r="S56" s="281"/>
      <x:c r="T56" s="281"/>
      <x:c r="U56" s="281"/>
      <x:c r="V56" s="281"/>
      <x:c r="W56" s="281"/>
      <x:c r="X56" s="281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281"/>
      <x:c r="B57" s="281"/>
      <x:c r="C57" s="281"/>
      <x:c r="D57" s="281"/>
      <x:c r="E57" s="281"/>
      <x:c r="F57" s="281"/>
      <x:c r="G57" s="281"/>
      <x:c r="H57" s="281"/>
      <x:c r="I57" s="281"/>
      <x:c r="J57" s="281"/>
      <x:c r="K57" s="281"/>
      <x:c r="L57" s="281"/>
      <x:c r="M57" s="281"/>
      <x:c r="N57" s="281"/>
      <x:c r="O57" s="281"/>
      <x:c r="P57" s="281"/>
      <x:c r="Q57" s="281"/>
      <x:c r="R57" s="281"/>
      <x:c r="S57" s="281"/>
      <x:c r="T57" s="281"/>
      <x:c r="U57" s="281"/>
      <x:c r="V57" s="281"/>
      <x:c r="W57" s="281"/>
      <x:c r="X57" s="281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281"/>
      <x:c r="B58" s="281"/>
      <x:c r="C58" s="281"/>
      <x:c r="D58" s="281"/>
      <x:c r="E58" s="281"/>
      <x:c r="F58" s="281"/>
      <x:c r="G58" s="281"/>
      <x:c r="H58" s="281"/>
      <x:c r="I58" s="281"/>
      <x:c r="J58" s="281"/>
      <x:c r="K58" s="281"/>
      <x:c r="L58" s="281"/>
      <x:c r="M58" s="281"/>
      <x:c r="N58" s="281"/>
      <x:c r="O58" s="281"/>
      <x:c r="P58" s="281"/>
      <x:c r="Q58" s="281"/>
      <x:c r="R58" s="281"/>
      <x:c r="S58" s="281"/>
      <x:c r="T58" s="281"/>
      <x:c r="U58" s="281"/>
      <x:c r="V58" s="281"/>
      <x:c r="W58" s="281"/>
      <x:c r="X58" s="281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281"/>
      <x:c r="B59" s="281"/>
      <x:c r="C59" s="281"/>
      <x:c r="D59" s="281"/>
      <x:c r="E59" s="281"/>
      <x:c r="F59" s="281"/>
      <x:c r="G59" s="281"/>
      <x:c r="H59" s="281"/>
      <x:c r="I59" s="281"/>
      <x:c r="J59" s="281"/>
      <x:c r="K59" s="281"/>
      <x:c r="L59" s="281"/>
      <x:c r="M59" s="281"/>
      <x:c r="N59" s="281"/>
      <x:c r="O59" s="281"/>
      <x:c r="P59" s="281"/>
      <x:c r="Q59" s="281"/>
      <x:c r="R59" s="281"/>
      <x:c r="S59" s="281"/>
      <x:c r="T59" s="281"/>
      <x:c r="U59" s="281"/>
      <x:c r="V59" s="281"/>
      <x:c r="W59" s="281"/>
      <x:c r="X59" s="281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281"/>
      <x:c r="B60" s="281"/>
      <x:c r="C60" s="281"/>
      <x:c r="D60" s="281"/>
      <x:c r="E60" s="281"/>
      <x:c r="F60" s="281"/>
      <x:c r="G60" s="281"/>
      <x:c r="H60" s="281"/>
      <x:c r="I60" s="281"/>
      <x:c r="J60" s="281"/>
      <x:c r="K60" s="281"/>
      <x:c r="L60" s="281"/>
      <x:c r="M60" s="281"/>
      <x:c r="N60" s="281"/>
      <x:c r="O60" s="281"/>
      <x:c r="P60" s="281"/>
      <x:c r="Q60" s="281"/>
      <x:c r="R60" s="281"/>
      <x:c r="S60" s="281"/>
      <x:c r="T60" s="281"/>
      <x:c r="U60" s="281"/>
      <x:c r="V60" s="281"/>
      <x:c r="W60" s="281"/>
      <x:c r="X60" s="281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281"/>
      <x:c r="B61" s="281"/>
      <x:c r="C61" s="281"/>
      <x:c r="D61" s="281"/>
      <x:c r="E61" s="281"/>
      <x:c r="F61" s="281"/>
      <x:c r="G61" s="281"/>
      <x:c r="H61" s="281"/>
      <x:c r="I61" s="281"/>
      <x:c r="J61" s="281"/>
      <x:c r="K61" s="281"/>
      <x:c r="L61" s="281"/>
      <x:c r="M61" s="281"/>
      <x:c r="N61" s="281"/>
      <x:c r="O61" s="281"/>
      <x:c r="P61" s="281"/>
      <x:c r="Q61" s="281"/>
      <x:c r="R61" s="281"/>
      <x:c r="S61" s="281"/>
      <x:c r="T61" s="281"/>
      <x:c r="U61" s="281"/>
      <x:c r="V61" s="281"/>
      <x:c r="W61" s="281"/>
      <x:c r="X61" s="281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281"/>
      <x:c r="B62" s="281"/>
      <x:c r="C62" s="281"/>
      <x:c r="D62" s="281"/>
      <x:c r="E62" s="281"/>
      <x:c r="F62" s="281"/>
      <x:c r="G62" s="281"/>
      <x:c r="H62" s="281"/>
      <x:c r="I62" s="281"/>
      <x:c r="J62" s="281"/>
      <x:c r="K62" s="281"/>
      <x:c r="L62" s="281"/>
      <x:c r="M62" s="281"/>
      <x:c r="N62" s="281"/>
      <x:c r="O62" s="281"/>
      <x:c r="P62" s="281"/>
      <x:c r="Q62" s="281"/>
      <x:c r="R62" s="281"/>
      <x:c r="S62" s="281"/>
      <x:c r="T62" s="281"/>
      <x:c r="U62" s="281"/>
      <x:c r="V62" s="281"/>
      <x:c r="W62" s="281"/>
      <x:c r="X62" s="281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281"/>
      <x:c r="B63" s="281"/>
      <x:c r="C63" s="281"/>
      <x:c r="D63" s="281"/>
      <x:c r="E63" s="281"/>
      <x:c r="F63" s="281"/>
      <x:c r="G63" s="281"/>
      <x:c r="H63" s="281"/>
      <x:c r="I63" s="281"/>
      <x:c r="J63" s="281"/>
      <x:c r="K63" s="281"/>
      <x:c r="L63" s="281"/>
      <x:c r="M63" s="281"/>
      <x:c r="N63" s="281"/>
      <x:c r="O63" s="281"/>
      <x:c r="P63" s="281"/>
      <x:c r="Q63" s="281"/>
      <x:c r="R63" s="281"/>
      <x:c r="S63" s="281"/>
      <x:c r="T63" s="281"/>
      <x:c r="U63" s="281"/>
      <x:c r="V63" s="281"/>
      <x:c r="W63" s="281"/>
      <x:c r="X63" s="281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281"/>
      <x:c r="B64" s="281"/>
      <x:c r="C64" s="281"/>
      <x:c r="D64" s="281"/>
      <x:c r="E64" s="281"/>
      <x:c r="F64" s="281"/>
      <x:c r="G64" s="281"/>
      <x:c r="H64" s="281"/>
      <x:c r="I64" s="281"/>
      <x:c r="J64" s="281"/>
      <x:c r="K64" s="281"/>
      <x:c r="L64" s="281"/>
      <x:c r="M64" s="281"/>
      <x:c r="N64" s="281"/>
      <x:c r="O64" s="281"/>
      <x:c r="P64" s="281"/>
      <x:c r="Q64" s="281"/>
      <x:c r="R64" s="281"/>
      <x:c r="S64" s="281"/>
      <x:c r="T64" s="281"/>
      <x:c r="U64" s="281"/>
      <x:c r="V64" s="281"/>
      <x:c r="W64" s="281"/>
      <x:c r="X64" s="281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281"/>
      <x:c r="B65" s="281"/>
      <x:c r="C65" s="281"/>
      <x:c r="D65" s="281"/>
      <x:c r="E65" s="281"/>
      <x:c r="F65" s="281"/>
      <x:c r="G65" s="281"/>
      <x:c r="H65" s="281"/>
      <x:c r="I65" s="281"/>
      <x:c r="J65" s="281"/>
      <x:c r="K65" s="281"/>
      <x:c r="L65" s="281"/>
      <x:c r="M65" s="281"/>
      <x:c r="N65" s="281"/>
      <x:c r="O65" s="281"/>
      <x:c r="P65" s="281"/>
      <x:c r="Q65" s="281"/>
      <x:c r="R65" s="281"/>
      <x:c r="S65" s="281"/>
      <x:c r="T65" s="281"/>
      <x:c r="U65" s="281"/>
      <x:c r="V65" s="281"/>
      <x:c r="W65" s="281"/>
      <x:c r="X65" s="281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281"/>
      <x:c r="B66" s="281"/>
      <x:c r="C66" s="281"/>
      <x:c r="D66" s="281"/>
      <x:c r="E66" s="281"/>
      <x:c r="F66" s="281"/>
      <x:c r="G66" s="281"/>
      <x:c r="H66" s="281"/>
      <x:c r="I66" s="281"/>
      <x:c r="J66" s="281"/>
      <x:c r="K66" s="281"/>
      <x:c r="L66" s="281"/>
      <x:c r="M66" s="281"/>
      <x:c r="N66" s="281"/>
      <x:c r="O66" s="281"/>
      <x:c r="P66" s="281"/>
      <x:c r="Q66" s="281"/>
      <x:c r="R66" s="281"/>
      <x:c r="S66" s="281"/>
      <x:c r="T66" s="281"/>
      <x:c r="U66" s="281"/>
      <x:c r="V66" s="281"/>
      <x:c r="W66" s="281"/>
      <x:c r="X66" s="281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281"/>
      <x:c r="B67" s="281"/>
      <x:c r="C67" s="281"/>
      <x:c r="D67" s="281"/>
      <x:c r="E67" s="281"/>
      <x:c r="F67" s="281"/>
      <x:c r="G67" s="281"/>
      <x:c r="H67" s="281"/>
      <x:c r="I67" s="281"/>
      <x:c r="J67" s="281"/>
      <x:c r="K67" s="281"/>
      <x:c r="L67" s="281"/>
      <x:c r="M67" s="281"/>
      <x:c r="N67" s="281"/>
      <x:c r="O67" s="281"/>
      <x:c r="P67" s="281"/>
      <x:c r="Q67" s="281"/>
      <x:c r="R67" s="281"/>
      <x:c r="S67" s="281"/>
      <x:c r="T67" s="281"/>
      <x:c r="U67" s="281"/>
      <x:c r="V67" s="281"/>
      <x:c r="W67" s="281"/>
      <x:c r="X67" s="281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281"/>
      <x:c r="B68" s="281"/>
      <x:c r="C68" s="281"/>
      <x:c r="D68" s="281"/>
      <x:c r="E68" s="281"/>
      <x:c r="F68" s="281"/>
      <x:c r="G68" s="281"/>
      <x:c r="H68" s="281"/>
      <x:c r="I68" s="281"/>
      <x:c r="J68" s="281"/>
      <x:c r="K68" s="281"/>
      <x:c r="L68" s="281"/>
      <x:c r="M68" s="281"/>
      <x:c r="N68" s="281"/>
      <x:c r="O68" s="281"/>
      <x:c r="P68" s="281"/>
      <x:c r="Q68" s="281"/>
      <x:c r="R68" s="281"/>
      <x:c r="S68" s="281"/>
      <x:c r="T68" s="281"/>
      <x:c r="U68" s="281"/>
      <x:c r="V68" s="281"/>
      <x:c r="W68" s="281"/>
      <x:c r="X68" s="281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281"/>
      <x:c r="B69" s="281"/>
      <x:c r="C69" s="281"/>
      <x:c r="D69" s="281"/>
      <x:c r="E69" s="281"/>
      <x:c r="F69" s="281"/>
      <x:c r="G69" s="281"/>
      <x:c r="H69" s="281"/>
      <x:c r="I69" s="281"/>
      <x:c r="J69" s="281"/>
      <x:c r="K69" s="281"/>
      <x:c r="L69" s="281"/>
      <x:c r="M69" s="281"/>
      <x:c r="N69" s="281"/>
      <x:c r="O69" s="281"/>
      <x:c r="P69" s="281"/>
      <x:c r="Q69" s="281"/>
      <x:c r="R69" s="281"/>
      <x:c r="S69" s="281"/>
      <x:c r="T69" s="281"/>
      <x:c r="U69" s="281"/>
      <x:c r="V69" s="281"/>
      <x:c r="W69" s="281"/>
      <x:c r="X69" s="281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281"/>
      <x:c r="B70" s="281"/>
      <x:c r="C70" s="281"/>
      <x:c r="D70" s="281"/>
      <x:c r="E70" s="281"/>
      <x:c r="F70" s="281"/>
      <x:c r="G70" s="281"/>
      <x:c r="H70" s="281"/>
      <x:c r="I70" s="281"/>
      <x:c r="J70" s="281"/>
      <x:c r="K70" s="281"/>
      <x:c r="L70" s="281"/>
      <x:c r="M70" s="281"/>
      <x:c r="N70" s="281"/>
      <x:c r="O70" s="281"/>
      <x:c r="P70" s="281"/>
      <x:c r="Q70" s="281"/>
      <x:c r="R70" s="281"/>
      <x:c r="S70" s="281"/>
      <x:c r="T70" s="281"/>
      <x:c r="U70" s="281"/>
      <x:c r="V70" s="281"/>
      <x:c r="W70" s="281"/>
      <x:c r="X70" s="281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281"/>
      <x:c r="B71" s="281"/>
      <x:c r="C71" s="281"/>
      <x:c r="D71" s="281"/>
      <x:c r="E71" s="281"/>
      <x:c r="F71" s="281"/>
      <x:c r="G71" s="281"/>
      <x:c r="H71" s="281"/>
      <x:c r="I71" s="281"/>
      <x:c r="J71" s="281"/>
      <x:c r="K71" s="281"/>
      <x:c r="L71" s="281"/>
      <x:c r="M71" s="281"/>
      <x:c r="N71" s="281"/>
      <x:c r="O71" s="281"/>
      <x:c r="P71" s="281"/>
      <x:c r="Q71" s="281"/>
      <x:c r="R71" s="281"/>
      <x:c r="S71" s="281"/>
      <x:c r="T71" s="281"/>
      <x:c r="U71" s="281"/>
      <x:c r="V71" s="281"/>
      <x:c r="W71" s="281"/>
      <x:c r="X71" s="281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281"/>
      <x:c r="B72" s="281"/>
      <x:c r="C72" s="281"/>
      <x:c r="D72" s="281"/>
      <x:c r="E72" s="281"/>
      <x:c r="F72" s="281"/>
      <x:c r="G72" s="281"/>
      <x:c r="H72" s="281"/>
      <x:c r="I72" s="281"/>
      <x:c r="J72" s="281"/>
      <x:c r="K72" s="281"/>
      <x:c r="L72" s="281"/>
      <x:c r="M72" s="281"/>
      <x:c r="N72" s="281"/>
      <x:c r="O72" s="281"/>
      <x:c r="P72" s="281"/>
      <x:c r="Q72" s="281"/>
      <x:c r="R72" s="281"/>
      <x:c r="S72" s="281"/>
      <x:c r="T72" s="281"/>
      <x:c r="U72" s="281"/>
      <x:c r="V72" s="281"/>
      <x:c r="W72" s="281"/>
      <x:c r="X72" s="281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281"/>
      <x:c r="B73" s="281"/>
      <x:c r="C73" s="281"/>
      <x:c r="D73" s="281"/>
      <x:c r="E73" s="281"/>
      <x:c r="F73" s="281"/>
      <x:c r="G73" s="281"/>
      <x:c r="H73" s="281"/>
      <x:c r="I73" s="281"/>
      <x:c r="J73" s="281"/>
      <x:c r="K73" s="281"/>
      <x:c r="L73" s="281"/>
      <x:c r="M73" s="281"/>
      <x:c r="N73" s="281"/>
      <x:c r="O73" s="281"/>
      <x:c r="P73" s="281"/>
      <x:c r="Q73" s="281"/>
      <x:c r="R73" s="281"/>
      <x:c r="S73" s="281"/>
      <x:c r="T73" s="281"/>
      <x:c r="U73" s="281"/>
      <x:c r="V73" s="281"/>
      <x:c r="W73" s="281"/>
      <x:c r="X73" s="281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281"/>
      <x:c r="B74" s="281"/>
      <x:c r="C74" s="281"/>
      <x:c r="D74" s="281"/>
      <x:c r="E74" s="281"/>
      <x:c r="F74" s="281"/>
      <x:c r="G74" s="281"/>
      <x:c r="H74" s="281"/>
      <x:c r="I74" s="281"/>
      <x:c r="J74" s="281"/>
      <x:c r="K74" s="281"/>
      <x:c r="L74" s="281"/>
      <x:c r="M74" s="281"/>
      <x:c r="N74" s="281"/>
      <x:c r="O74" s="281"/>
      <x:c r="P74" s="281"/>
      <x:c r="Q74" s="281"/>
      <x:c r="R74" s="281"/>
      <x:c r="S74" s="281"/>
      <x:c r="T74" s="281"/>
      <x:c r="U74" s="281"/>
      <x:c r="V74" s="281"/>
      <x:c r="W74" s="281"/>
      <x:c r="X74" s="281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281"/>
      <x:c r="B75" s="281"/>
      <x:c r="C75" s="281"/>
      <x:c r="D75" s="281"/>
      <x:c r="E75" s="281"/>
      <x:c r="F75" s="281"/>
      <x:c r="G75" s="281"/>
      <x:c r="H75" s="281"/>
      <x:c r="I75" s="281"/>
      <x:c r="J75" s="281"/>
      <x:c r="K75" s="281"/>
      <x:c r="L75" s="281"/>
      <x:c r="M75" s="281"/>
      <x:c r="N75" s="281"/>
      <x:c r="O75" s="281"/>
      <x:c r="P75" s="281"/>
      <x:c r="Q75" s="281"/>
      <x:c r="R75" s="281"/>
      <x:c r="S75" s="281"/>
      <x:c r="T75" s="281"/>
      <x:c r="U75" s="281"/>
      <x:c r="V75" s="281"/>
      <x:c r="W75" s="281"/>
      <x:c r="X75" s="281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281"/>
      <x:c r="B76" s="281"/>
      <x:c r="C76" s="281"/>
      <x:c r="D76" s="281"/>
      <x:c r="E76" s="281"/>
      <x:c r="F76" s="281"/>
      <x:c r="G76" s="281"/>
      <x:c r="H76" s="281"/>
      <x:c r="I76" s="281"/>
      <x:c r="J76" s="281"/>
      <x:c r="K76" s="281"/>
      <x:c r="L76" s="281"/>
      <x:c r="M76" s="281"/>
      <x:c r="N76" s="281"/>
      <x:c r="O76" s="281"/>
      <x:c r="P76" s="281"/>
      <x:c r="Q76" s="281"/>
      <x:c r="R76" s="281"/>
      <x:c r="S76" s="281"/>
      <x:c r="T76" s="281"/>
      <x:c r="U76" s="281"/>
      <x:c r="V76" s="281"/>
      <x:c r="W76" s="281"/>
      <x:c r="X76" s="281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281"/>
      <x:c r="B77" s="281"/>
      <x:c r="C77" s="281"/>
      <x:c r="D77" s="281"/>
      <x:c r="E77" s="281"/>
      <x:c r="F77" s="281"/>
      <x:c r="G77" s="281"/>
      <x:c r="H77" s="281"/>
      <x:c r="I77" s="281"/>
      <x:c r="J77" s="281"/>
      <x:c r="K77" s="281"/>
      <x:c r="L77" s="281"/>
      <x:c r="M77" s="281"/>
      <x:c r="N77" s="281"/>
      <x:c r="O77" s="281"/>
      <x:c r="P77" s="281"/>
      <x:c r="Q77" s="281"/>
      <x:c r="R77" s="281"/>
      <x:c r="S77" s="281"/>
      <x:c r="T77" s="281"/>
      <x:c r="U77" s="281"/>
      <x:c r="V77" s="281"/>
      <x:c r="W77" s="281"/>
      <x:c r="X77" s="281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281"/>
      <x:c r="B78" s="281"/>
      <x:c r="C78" s="281"/>
      <x:c r="D78" s="281"/>
      <x:c r="E78" s="281"/>
      <x:c r="F78" s="281"/>
      <x:c r="G78" s="281"/>
      <x:c r="H78" s="281"/>
      <x:c r="I78" s="281"/>
      <x:c r="J78" s="281"/>
      <x:c r="K78" s="281"/>
      <x:c r="L78" s="281"/>
      <x:c r="M78" s="281"/>
      <x:c r="N78" s="281"/>
      <x:c r="O78" s="281"/>
      <x:c r="P78" s="281"/>
      <x:c r="Q78" s="281"/>
      <x:c r="R78" s="281"/>
      <x:c r="S78" s="281"/>
      <x:c r="T78" s="281"/>
      <x:c r="U78" s="281"/>
      <x:c r="V78" s="281"/>
      <x:c r="W78" s="281"/>
      <x:c r="X78" s="281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281"/>
      <x:c r="B79" s="281"/>
      <x:c r="C79" s="281"/>
      <x:c r="D79" s="281"/>
      <x:c r="E79" s="281"/>
      <x:c r="F79" s="281"/>
      <x:c r="G79" s="281"/>
      <x:c r="H79" s="281"/>
      <x:c r="I79" s="281"/>
      <x:c r="J79" s="281"/>
      <x:c r="K79" s="281"/>
      <x:c r="L79" s="281"/>
      <x:c r="M79" s="281"/>
      <x:c r="N79" s="281"/>
      <x:c r="O79" s="281"/>
      <x:c r="P79" s="281"/>
      <x:c r="Q79" s="281"/>
      <x:c r="R79" s="281"/>
      <x:c r="S79" s="281"/>
      <x:c r="T79" s="281"/>
      <x:c r="U79" s="281"/>
      <x:c r="V79" s="281"/>
      <x:c r="W79" s="281"/>
      <x:c r="X79" s="281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281"/>
      <x:c r="B80" s="281"/>
      <x:c r="C80" s="281"/>
      <x:c r="D80" s="281"/>
      <x:c r="E80" s="281"/>
      <x:c r="F80" s="281"/>
      <x:c r="G80" s="281"/>
      <x:c r="H80" s="281"/>
      <x:c r="I80" s="281"/>
      <x:c r="J80" s="281"/>
      <x:c r="K80" s="281"/>
      <x:c r="L80" s="281"/>
      <x:c r="M80" s="281"/>
      <x:c r="N80" s="281"/>
      <x:c r="O80" s="281"/>
      <x:c r="P80" s="281"/>
      <x:c r="Q80" s="281"/>
      <x:c r="R80" s="281"/>
      <x:c r="S80" s="281"/>
      <x:c r="T80" s="281"/>
      <x:c r="U80" s="281"/>
      <x:c r="V80" s="281"/>
      <x:c r="W80" s="281"/>
      <x:c r="X80" s="281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281"/>
      <x:c r="B81" s="281"/>
      <x:c r="C81" s="281"/>
      <x:c r="D81" s="281"/>
      <x:c r="E81" s="281"/>
      <x:c r="F81" s="281"/>
      <x:c r="G81" s="281"/>
      <x:c r="H81" s="281"/>
      <x:c r="I81" s="281"/>
      <x:c r="J81" s="281"/>
      <x:c r="K81" s="281"/>
      <x:c r="L81" s="281"/>
      <x:c r="M81" s="281"/>
      <x:c r="N81" s="281"/>
      <x:c r="O81" s="281"/>
      <x:c r="P81" s="281"/>
      <x:c r="Q81" s="281"/>
      <x:c r="R81" s="281"/>
      <x:c r="S81" s="281"/>
      <x:c r="T81" s="281"/>
      <x:c r="U81" s="281"/>
      <x:c r="V81" s="281"/>
      <x:c r="W81" s="281"/>
      <x:c r="X81" s="281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281"/>
      <x:c r="B82" s="281"/>
      <x:c r="C82" s="281"/>
      <x:c r="D82" s="281"/>
      <x:c r="E82" s="281"/>
      <x:c r="F82" s="281"/>
      <x:c r="G82" s="281"/>
      <x:c r="H82" s="281"/>
      <x:c r="I82" s="281"/>
      <x:c r="J82" s="281"/>
      <x:c r="K82" s="281"/>
      <x:c r="L82" s="281"/>
      <x:c r="M82" s="281"/>
      <x:c r="N82" s="281"/>
      <x:c r="O82" s="281"/>
      <x:c r="P82" s="281"/>
      <x:c r="Q82" s="281"/>
      <x:c r="R82" s="281"/>
      <x:c r="S82" s="281"/>
      <x:c r="T82" s="281"/>
      <x:c r="U82" s="281"/>
      <x:c r="V82" s="281"/>
      <x:c r="W82" s="281"/>
      <x:c r="X82" s="281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281"/>
      <x:c r="B83" s="281"/>
      <x:c r="C83" s="281"/>
      <x:c r="D83" s="281"/>
      <x:c r="E83" s="281"/>
      <x:c r="F83" s="281"/>
      <x:c r="G83" s="281"/>
      <x:c r="H83" s="281"/>
      <x:c r="I83" s="281"/>
      <x:c r="J83" s="281"/>
      <x:c r="K83" s="281"/>
      <x:c r="L83" s="281"/>
      <x:c r="M83" s="281"/>
      <x:c r="N83" s="281"/>
      <x:c r="O83" s="281"/>
      <x:c r="P83" s="281"/>
      <x:c r="Q83" s="281"/>
      <x:c r="R83" s="281"/>
      <x:c r="S83" s="281"/>
      <x:c r="T83" s="281"/>
      <x:c r="U83" s="281"/>
      <x:c r="V83" s="281"/>
      <x:c r="W83" s="281"/>
      <x:c r="X83" s="281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281"/>
      <x:c r="B84" s="281"/>
      <x:c r="C84" s="281"/>
      <x:c r="D84" s="281"/>
      <x:c r="E84" s="281"/>
      <x:c r="F84" s="281"/>
      <x:c r="G84" s="281"/>
      <x:c r="H84" s="281"/>
      <x:c r="I84" s="281"/>
      <x:c r="J84" s="281"/>
      <x:c r="K84" s="281"/>
      <x:c r="L84" s="281"/>
      <x:c r="M84" s="281"/>
      <x:c r="N84" s="281"/>
      <x:c r="O84" s="281"/>
      <x:c r="P84" s="281"/>
      <x:c r="Q84" s="281"/>
      <x:c r="R84" s="281"/>
      <x:c r="S84" s="281"/>
      <x:c r="T84" s="281"/>
      <x:c r="U84" s="281"/>
      <x:c r="V84" s="281"/>
      <x:c r="W84" s="281"/>
      <x:c r="X84" s="281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281"/>
      <x:c r="B85" s="281"/>
      <x:c r="C85" s="281"/>
      <x:c r="D85" s="281"/>
      <x:c r="E85" s="281"/>
      <x:c r="F85" s="281"/>
      <x:c r="G85" s="281"/>
      <x:c r="H85" s="281"/>
      <x:c r="I85" s="281"/>
      <x:c r="J85" s="281"/>
      <x:c r="K85" s="281"/>
      <x:c r="L85" s="281"/>
      <x:c r="M85" s="281"/>
      <x:c r="N85" s="281"/>
      <x:c r="O85" s="281"/>
      <x:c r="P85" s="281"/>
      <x:c r="Q85" s="281"/>
      <x:c r="R85" s="281"/>
      <x:c r="S85" s="281"/>
      <x:c r="T85" s="281"/>
      <x:c r="U85" s="281"/>
      <x:c r="V85" s="281"/>
      <x:c r="W85" s="281"/>
      <x:c r="X85" s="281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281"/>
      <x:c r="B86" s="281"/>
      <x:c r="C86" s="281"/>
      <x:c r="D86" s="281"/>
      <x:c r="E86" s="281"/>
      <x:c r="F86" s="281"/>
      <x:c r="G86" s="281"/>
      <x:c r="H86" s="281"/>
      <x:c r="I86" s="281"/>
      <x:c r="J86" s="281"/>
      <x:c r="K86" s="281"/>
      <x:c r="L86" s="281"/>
      <x:c r="M86" s="281"/>
      <x:c r="N86" s="281"/>
      <x:c r="O86" s="281"/>
      <x:c r="P86" s="281"/>
      <x:c r="Q86" s="281"/>
      <x:c r="R86" s="281"/>
      <x:c r="S86" s="281"/>
      <x:c r="T86" s="281"/>
      <x:c r="U86" s="281"/>
      <x:c r="V86" s="281"/>
      <x:c r="W86" s="281"/>
      <x:c r="X86" s="281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281"/>
      <x:c r="B87" s="281"/>
      <x:c r="C87" s="281"/>
      <x:c r="D87" s="281"/>
      <x:c r="E87" s="281"/>
      <x:c r="F87" s="281"/>
      <x:c r="G87" s="281"/>
      <x:c r="H87" s="281"/>
      <x:c r="I87" s="281"/>
      <x:c r="J87" s="281"/>
      <x:c r="K87" s="281"/>
      <x:c r="L87" s="281"/>
      <x:c r="M87" s="281"/>
      <x:c r="N87" s="281"/>
      <x:c r="O87" s="281"/>
      <x:c r="P87" s="281"/>
      <x:c r="Q87" s="281"/>
      <x:c r="R87" s="281"/>
      <x:c r="S87" s="281"/>
      <x:c r="T87" s="281"/>
      <x:c r="U87" s="281"/>
      <x:c r="V87" s="281"/>
      <x:c r="W87" s="281"/>
      <x:c r="X87" s="281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281"/>
      <x:c r="B88" s="281"/>
      <x:c r="C88" s="281"/>
      <x:c r="D88" s="281"/>
      <x:c r="E88" s="281"/>
      <x:c r="F88" s="281"/>
      <x:c r="G88" s="281"/>
      <x:c r="H88" s="281"/>
      <x:c r="I88" s="281"/>
      <x:c r="J88" s="281"/>
      <x:c r="K88" s="281"/>
      <x:c r="L88" s="281"/>
      <x:c r="M88" s="281"/>
      <x:c r="N88" s="281"/>
      <x:c r="O88" s="281"/>
      <x:c r="P88" s="281"/>
      <x:c r="Q88" s="281"/>
      <x:c r="R88" s="281"/>
      <x:c r="S88" s="281"/>
      <x:c r="T88" s="281"/>
      <x:c r="U88" s="281"/>
      <x:c r="V88" s="281"/>
      <x:c r="W88" s="281"/>
      <x:c r="X88" s="281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281"/>
      <x:c r="B89" s="281"/>
      <x:c r="C89" s="281"/>
      <x:c r="D89" s="281"/>
      <x:c r="E89" s="281"/>
      <x:c r="F89" s="281"/>
      <x:c r="G89" s="281"/>
      <x:c r="H89" s="281"/>
      <x:c r="I89" s="281"/>
      <x:c r="J89" s="281"/>
      <x:c r="K89" s="281"/>
      <x:c r="L89" s="281"/>
      <x:c r="M89" s="281"/>
      <x:c r="N89" s="281"/>
      <x:c r="O89" s="281"/>
      <x:c r="P89" s="281"/>
      <x:c r="Q89" s="281"/>
      <x:c r="R89" s="281"/>
      <x:c r="S89" s="281"/>
      <x:c r="T89" s="281"/>
      <x:c r="U89" s="281"/>
      <x:c r="V89" s="281"/>
      <x:c r="W89" s="281"/>
      <x:c r="X89" s="281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281"/>
      <x:c r="B90" s="281"/>
      <x:c r="C90" s="281"/>
      <x:c r="D90" s="281"/>
      <x:c r="E90" s="281"/>
      <x:c r="F90" s="281"/>
      <x:c r="G90" s="281"/>
      <x:c r="H90" s="281"/>
      <x:c r="I90" s="281"/>
      <x:c r="J90" s="281"/>
      <x:c r="K90" s="281"/>
      <x:c r="L90" s="281"/>
      <x:c r="M90" s="281"/>
      <x:c r="N90" s="281"/>
      <x:c r="O90" s="281"/>
      <x:c r="P90" s="281"/>
      <x:c r="Q90" s="281"/>
      <x:c r="R90" s="281"/>
      <x:c r="S90" s="281"/>
      <x:c r="T90" s="281"/>
      <x:c r="U90" s="281"/>
      <x:c r="V90" s="281"/>
      <x:c r="W90" s="281"/>
      <x:c r="X90" s="281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281"/>
      <x:c r="B91" s="281"/>
      <x:c r="C91" s="281"/>
      <x:c r="D91" s="281"/>
      <x:c r="E91" s="281"/>
      <x:c r="F91" s="281"/>
      <x:c r="G91" s="281"/>
      <x:c r="H91" s="281"/>
      <x:c r="I91" s="281"/>
      <x:c r="J91" s="281"/>
      <x:c r="K91" s="281"/>
      <x:c r="L91" s="281"/>
      <x:c r="M91" s="281"/>
      <x:c r="N91" s="281"/>
      <x:c r="O91" s="281"/>
      <x:c r="P91" s="281"/>
      <x:c r="Q91" s="281"/>
      <x:c r="R91" s="281"/>
      <x:c r="S91" s="281"/>
      <x:c r="T91" s="281"/>
      <x:c r="U91" s="281"/>
      <x:c r="V91" s="281"/>
      <x:c r="W91" s="281"/>
      <x:c r="X91" s="281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281"/>
      <x:c r="B92" s="281"/>
      <x:c r="C92" s="281"/>
      <x:c r="D92" s="281"/>
      <x:c r="E92" s="281"/>
      <x:c r="F92" s="281"/>
      <x:c r="G92" s="281"/>
      <x:c r="H92" s="281"/>
      <x:c r="I92" s="281"/>
      <x:c r="J92" s="281"/>
      <x:c r="K92" s="281"/>
      <x:c r="L92" s="281"/>
      <x:c r="M92" s="281"/>
      <x:c r="N92" s="281"/>
      <x:c r="O92" s="281"/>
      <x:c r="P92" s="281"/>
      <x:c r="Q92" s="281"/>
      <x:c r="R92" s="281"/>
      <x:c r="S92" s="281"/>
      <x:c r="T92" s="281"/>
      <x:c r="U92" s="281"/>
      <x:c r="V92" s="281"/>
      <x:c r="W92" s="281"/>
      <x:c r="X92" s="281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281"/>
      <x:c r="B93" s="281"/>
      <x:c r="C93" s="281"/>
      <x:c r="D93" s="281"/>
      <x:c r="E93" s="281"/>
      <x:c r="F93" s="281"/>
      <x:c r="G93" s="281"/>
      <x:c r="H93" s="281"/>
      <x:c r="I93" s="281"/>
      <x:c r="J93" s="281"/>
      <x:c r="K93" s="281"/>
      <x:c r="L93" s="281"/>
      <x:c r="M93" s="281"/>
      <x:c r="N93" s="281"/>
      <x:c r="O93" s="281"/>
      <x:c r="P93" s="281"/>
      <x:c r="Q93" s="281"/>
      <x:c r="R93" s="281"/>
      <x:c r="S93" s="281"/>
      <x:c r="T93" s="281"/>
      <x:c r="U93" s="281"/>
      <x:c r="V93" s="281"/>
      <x:c r="W93" s="281"/>
      <x:c r="X93" s="281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281"/>
      <x:c r="B94" s="281"/>
      <x:c r="C94" s="281"/>
      <x:c r="D94" s="281"/>
      <x:c r="E94" s="281"/>
      <x:c r="F94" s="281"/>
      <x:c r="G94" s="281"/>
      <x:c r="H94" s="281"/>
      <x:c r="I94" s="281"/>
      <x:c r="J94" s="281"/>
      <x:c r="K94" s="281"/>
      <x:c r="L94" s="281"/>
      <x:c r="M94" s="281"/>
      <x:c r="N94" s="281"/>
      <x:c r="O94" s="281"/>
      <x:c r="P94" s="281"/>
      <x:c r="Q94" s="281"/>
      <x:c r="R94" s="281"/>
      <x:c r="S94" s="281"/>
      <x:c r="T94" s="281"/>
      <x:c r="U94" s="281"/>
      <x:c r="V94" s="281"/>
      <x:c r="W94" s="281"/>
      <x:c r="X94" s="281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281"/>
      <x:c r="B95" s="281"/>
      <x:c r="C95" s="281"/>
      <x:c r="D95" s="281"/>
      <x:c r="E95" s="281"/>
      <x:c r="F95" s="281"/>
      <x:c r="G95" s="281"/>
      <x:c r="H95" s="281"/>
      <x:c r="I95" s="281"/>
      <x:c r="J95" s="281"/>
      <x:c r="K95" s="281"/>
      <x:c r="L95" s="281"/>
      <x:c r="M95" s="281"/>
      <x:c r="N95" s="281"/>
      <x:c r="O95" s="281"/>
      <x:c r="P95" s="281"/>
      <x:c r="Q95" s="281"/>
      <x:c r="R95" s="281"/>
      <x:c r="S95" s="281"/>
      <x:c r="T95" s="281"/>
      <x:c r="U95" s="281"/>
      <x:c r="V95" s="281"/>
      <x:c r="W95" s="281"/>
      <x:c r="X95" s="281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281"/>
      <x:c r="B96" s="281"/>
      <x:c r="C96" s="281"/>
      <x:c r="D96" s="281"/>
      <x:c r="E96" s="281"/>
      <x:c r="F96" s="281"/>
      <x:c r="G96" s="281"/>
      <x:c r="H96" s="281"/>
      <x:c r="I96" s="281"/>
      <x:c r="J96" s="281"/>
      <x:c r="K96" s="281"/>
      <x:c r="L96" s="281"/>
      <x:c r="M96" s="281"/>
      <x:c r="N96" s="281"/>
      <x:c r="O96" s="281"/>
      <x:c r="P96" s="281"/>
      <x:c r="Q96" s="281"/>
      <x:c r="R96" s="281"/>
      <x:c r="S96" s="281"/>
      <x:c r="T96" s="281"/>
      <x:c r="U96" s="281"/>
      <x:c r="V96" s="281"/>
      <x:c r="W96" s="281"/>
      <x:c r="X96" s="281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281"/>
      <x:c r="B97" s="281"/>
      <x:c r="C97" s="281"/>
      <x:c r="D97" s="281"/>
      <x:c r="E97" s="281"/>
      <x:c r="F97" s="281"/>
      <x:c r="G97" s="281"/>
      <x:c r="H97" s="281"/>
      <x:c r="I97" s="281"/>
      <x:c r="J97" s="281"/>
      <x:c r="K97" s="281"/>
      <x:c r="L97" s="281"/>
      <x:c r="M97" s="281"/>
      <x:c r="N97" s="281"/>
      <x:c r="O97" s="281"/>
      <x:c r="P97" s="281"/>
      <x:c r="Q97" s="281"/>
      <x:c r="R97" s="281"/>
      <x:c r="S97" s="281"/>
      <x:c r="T97" s="281"/>
      <x:c r="U97" s="281"/>
      <x:c r="V97" s="281"/>
      <x:c r="W97" s="281"/>
      <x:c r="X97" s="281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281"/>
      <x:c r="B98" s="281"/>
      <x:c r="C98" s="281"/>
      <x:c r="D98" s="281"/>
      <x:c r="E98" s="281"/>
      <x:c r="F98" s="281"/>
      <x:c r="G98" s="281"/>
      <x:c r="H98" s="281"/>
      <x:c r="I98" s="281"/>
      <x:c r="J98" s="281"/>
      <x:c r="K98" s="281"/>
      <x:c r="L98" s="281"/>
      <x:c r="M98" s="281"/>
      <x:c r="N98" s="281"/>
      <x:c r="O98" s="281"/>
      <x:c r="P98" s="281"/>
      <x:c r="Q98" s="281"/>
      <x:c r="R98" s="281"/>
      <x:c r="S98" s="281"/>
      <x:c r="T98" s="281"/>
      <x:c r="U98" s="281"/>
      <x:c r="V98" s="281"/>
      <x:c r="W98" s="281"/>
      <x:c r="X98" s="281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281"/>
      <x:c r="B99" s="281"/>
      <x:c r="C99" s="281"/>
      <x:c r="D99" s="281"/>
      <x:c r="E99" s="281"/>
      <x:c r="F99" s="281"/>
      <x:c r="G99" s="281"/>
      <x:c r="H99" s="281"/>
      <x:c r="I99" s="281"/>
      <x:c r="J99" s="281"/>
      <x:c r="K99" s="281"/>
      <x:c r="L99" s="281"/>
      <x:c r="M99" s="281"/>
      <x:c r="N99" s="281"/>
      <x:c r="O99" s="281"/>
      <x:c r="P99" s="281"/>
      <x:c r="Q99" s="281"/>
      <x:c r="R99" s="281"/>
      <x:c r="S99" s="281"/>
      <x:c r="T99" s="281"/>
      <x:c r="U99" s="281"/>
      <x:c r="V99" s="281"/>
      <x:c r="W99" s="281"/>
      <x:c r="X99" s="281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281"/>
      <x:c r="B100" s="281"/>
      <x:c r="C100" s="281"/>
      <x:c r="D100" s="281"/>
      <x:c r="E100" s="281"/>
      <x:c r="F100" s="281"/>
      <x:c r="G100" s="281"/>
      <x:c r="H100" s="281"/>
      <x:c r="I100" s="281"/>
      <x:c r="J100" s="281"/>
      <x:c r="K100" s="281"/>
      <x:c r="L100" s="281"/>
      <x:c r="M100" s="281"/>
      <x:c r="N100" s="281"/>
      <x:c r="O100" s="281"/>
      <x:c r="P100" s="281"/>
      <x:c r="Q100" s="281"/>
      <x:c r="R100" s="281"/>
      <x:c r="S100" s="281"/>
      <x:c r="T100" s="281"/>
      <x:c r="U100" s="281"/>
      <x:c r="V100" s="281"/>
      <x:c r="W100" s="281"/>
      <x:c r="X100" s="281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281"/>
      <x:c r="B101" s="281"/>
      <x:c r="C101" s="281"/>
      <x:c r="D101" s="281"/>
      <x:c r="E101" s="281"/>
      <x:c r="F101" s="281"/>
      <x:c r="G101" s="281"/>
      <x:c r="H101" s="281"/>
      <x:c r="I101" s="281"/>
      <x:c r="J101" s="281"/>
      <x:c r="K101" s="281"/>
      <x:c r="L101" s="281"/>
      <x:c r="M101" s="281"/>
      <x:c r="N101" s="281"/>
      <x:c r="O101" s="281"/>
      <x:c r="P101" s="281"/>
      <x:c r="Q101" s="281"/>
      <x:c r="R101" s="281"/>
      <x:c r="S101" s="281"/>
      <x:c r="T101" s="281"/>
      <x:c r="U101" s="281"/>
      <x:c r="V101" s="281"/>
      <x:c r="W101" s="281"/>
      <x:c r="X101" s="281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281"/>
      <x:c r="B102" s="281"/>
      <x:c r="C102" s="281"/>
      <x:c r="D102" s="281"/>
      <x:c r="E102" s="281"/>
      <x:c r="F102" s="281"/>
      <x:c r="G102" s="281"/>
      <x:c r="H102" s="281"/>
      <x:c r="I102" s="281"/>
      <x:c r="J102" s="281"/>
      <x:c r="K102" s="281"/>
      <x:c r="L102" s="281"/>
      <x:c r="M102" s="281"/>
      <x:c r="N102" s="281"/>
      <x:c r="O102" s="281"/>
      <x:c r="P102" s="281"/>
      <x:c r="Q102" s="281"/>
      <x:c r="R102" s="281"/>
      <x:c r="S102" s="281"/>
      <x:c r="T102" s="281"/>
      <x:c r="U102" s="281"/>
      <x:c r="V102" s="281"/>
      <x:c r="W102" s="281"/>
      <x:c r="X102" s="281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281"/>
      <x:c r="B103" s="281"/>
      <x:c r="C103" s="281"/>
      <x:c r="D103" s="281"/>
      <x:c r="E103" s="281"/>
      <x:c r="F103" s="281"/>
      <x:c r="G103" s="281"/>
      <x:c r="H103" s="281"/>
      <x:c r="I103" s="281"/>
      <x:c r="J103" s="281"/>
      <x:c r="K103" s="281"/>
      <x:c r="L103" s="281"/>
      <x:c r="M103" s="281"/>
      <x:c r="N103" s="281"/>
      <x:c r="O103" s="281"/>
      <x:c r="P103" s="281"/>
      <x:c r="Q103" s="281"/>
      <x:c r="R103" s="281"/>
      <x:c r="S103" s="281"/>
      <x:c r="T103" s="281"/>
      <x:c r="U103" s="281"/>
      <x:c r="V103" s="281"/>
      <x:c r="W103" s="281"/>
      <x:c r="X103" s="281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281"/>
      <x:c r="B104" s="281"/>
      <x:c r="C104" s="281"/>
      <x:c r="D104" s="281"/>
      <x:c r="E104" s="281"/>
      <x:c r="F104" s="281"/>
      <x:c r="G104" s="281"/>
      <x:c r="H104" s="281"/>
      <x:c r="I104" s="281"/>
      <x:c r="J104" s="281"/>
      <x:c r="K104" s="281"/>
      <x:c r="L104" s="281"/>
      <x:c r="M104" s="281"/>
      <x:c r="N104" s="281"/>
      <x:c r="O104" s="281"/>
      <x:c r="P104" s="281"/>
      <x:c r="Q104" s="281"/>
      <x:c r="R104" s="281"/>
      <x:c r="S104" s="281"/>
      <x:c r="T104" s="281"/>
      <x:c r="U104" s="281"/>
      <x:c r="V104" s="281"/>
      <x:c r="W104" s="281"/>
      <x:c r="X104" s="281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281"/>
      <x:c r="B105" s="281"/>
      <x:c r="C105" s="281"/>
      <x:c r="D105" s="281"/>
      <x:c r="E105" s="281"/>
      <x:c r="F105" s="281"/>
      <x:c r="G105" s="281"/>
      <x:c r="H105" s="281"/>
      <x:c r="I105" s="281"/>
      <x:c r="J105" s="281"/>
      <x:c r="K105" s="281"/>
      <x:c r="L105" s="281"/>
      <x:c r="M105" s="281"/>
      <x:c r="N105" s="281"/>
      <x:c r="O105" s="281"/>
      <x:c r="P105" s="281"/>
      <x:c r="Q105" s="281"/>
      <x:c r="R105" s="281"/>
      <x:c r="S105" s="281"/>
      <x:c r="T105" s="281"/>
      <x:c r="U105" s="281"/>
      <x:c r="V105" s="281"/>
      <x:c r="W105" s="281"/>
      <x:c r="X105" s="281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281"/>
      <x:c r="B106" s="281"/>
      <x:c r="C106" s="281"/>
      <x:c r="D106" s="281"/>
      <x:c r="E106" s="281"/>
      <x:c r="F106" s="281"/>
      <x:c r="G106" s="281"/>
      <x:c r="H106" s="281"/>
      <x:c r="I106" s="281"/>
      <x:c r="J106" s="281"/>
      <x:c r="K106" s="281"/>
      <x:c r="L106" s="281"/>
      <x:c r="M106" s="281"/>
      <x:c r="N106" s="281"/>
      <x:c r="O106" s="281"/>
      <x:c r="P106" s="281"/>
      <x:c r="Q106" s="281"/>
      <x:c r="R106" s="281"/>
      <x:c r="S106" s="281"/>
      <x:c r="T106" s="281"/>
      <x:c r="U106" s="281"/>
      <x:c r="V106" s="281"/>
      <x:c r="W106" s="281"/>
      <x:c r="X106" s="281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281"/>
      <x:c r="B107" s="281"/>
      <x:c r="C107" s="281"/>
      <x:c r="D107" s="281"/>
      <x:c r="E107" s="281"/>
      <x:c r="F107" s="281"/>
      <x:c r="G107" s="281"/>
      <x:c r="H107" s="281"/>
      <x:c r="I107" s="281"/>
      <x:c r="J107" s="281"/>
      <x:c r="K107" s="281"/>
      <x:c r="L107" s="281"/>
      <x:c r="M107" s="281"/>
      <x:c r="N107" s="281"/>
      <x:c r="O107" s="281"/>
      <x:c r="P107" s="281"/>
      <x:c r="Q107" s="281"/>
      <x:c r="R107" s="281"/>
      <x:c r="S107" s="281"/>
      <x:c r="T107" s="281"/>
      <x:c r="U107" s="281"/>
      <x:c r="V107" s="281"/>
      <x:c r="W107" s="281"/>
      <x:c r="X107" s="281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281"/>
      <x:c r="B108" s="281"/>
      <x:c r="C108" s="281"/>
      <x:c r="D108" s="281"/>
      <x:c r="E108" s="281"/>
      <x:c r="F108" s="281"/>
      <x:c r="G108" s="281"/>
      <x:c r="H108" s="281"/>
      <x:c r="I108" s="281"/>
      <x:c r="J108" s="281"/>
      <x:c r="K108" s="281"/>
      <x:c r="L108" s="281"/>
      <x:c r="M108" s="281"/>
      <x:c r="N108" s="281"/>
      <x:c r="O108" s="281"/>
      <x:c r="P108" s="281"/>
      <x:c r="Q108" s="281"/>
      <x:c r="R108" s="281"/>
      <x:c r="S108" s="281"/>
      <x:c r="T108" s="281"/>
      <x:c r="U108" s="281"/>
      <x:c r="V108" s="281"/>
      <x:c r="W108" s="281"/>
      <x:c r="X108" s="281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281"/>
      <x:c r="B109" s="281"/>
      <x:c r="C109" s="281"/>
      <x:c r="D109" s="281"/>
      <x:c r="E109" s="281"/>
      <x:c r="F109" s="281"/>
      <x:c r="G109" s="281"/>
      <x:c r="H109" s="281"/>
      <x:c r="I109" s="281"/>
      <x:c r="J109" s="281"/>
      <x:c r="K109" s="281"/>
      <x:c r="L109" s="281"/>
      <x:c r="M109" s="281"/>
      <x:c r="N109" s="281"/>
      <x:c r="O109" s="281"/>
      <x:c r="P109" s="281"/>
      <x:c r="Q109" s="281"/>
      <x:c r="R109" s="281"/>
      <x:c r="S109" s="281"/>
      <x:c r="T109" s="281"/>
      <x:c r="U109" s="281"/>
      <x:c r="V109" s="281"/>
      <x:c r="W109" s="281"/>
      <x:c r="X109" s="281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281"/>
      <x:c r="B110" s="281"/>
      <x:c r="C110" s="281"/>
      <x:c r="D110" s="281"/>
      <x:c r="E110" s="281"/>
      <x:c r="F110" s="281"/>
      <x:c r="G110" s="281"/>
      <x:c r="H110" s="281"/>
      <x:c r="I110" s="281"/>
      <x:c r="J110" s="281"/>
      <x:c r="K110" s="281"/>
      <x:c r="L110" s="281"/>
      <x:c r="M110" s="281"/>
      <x:c r="N110" s="281"/>
      <x:c r="O110" s="281"/>
      <x:c r="P110" s="281"/>
      <x:c r="Q110" s="281"/>
      <x:c r="R110" s="281"/>
      <x:c r="S110" s="281"/>
      <x:c r="T110" s="281"/>
      <x:c r="U110" s="281"/>
      <x:c r="V110" s="281"/>
      <x:c r="W110" s="281"/>
      <x:c r="X110" s="281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281"/>
      <x:c r="B111" s="281"/>
      <x:c r="C111" s="281"/>
      <x:c r="D111" s="281"/>
      <x:c r="E111" s="281"/>
      <x:c r="F111" s="281"/>
      <x:c r="G111" s="281"/>
      <x:c r="H111" s="281"/>
      <x:c r="I111" s="281"/>
      <x:c r="J111" s="281"/>
      <x:c r="K111" s="281"/>
      <x:c r="L111" s="281"/>
      <x:c r="M111" s="281"/>
      <x:c r="N111" s="281"/>
      <x:c r="O111" s="281"/>
      <x:c r="P111" s="281"/>
      <x:c r="Q111" s="281"/>
      <x:c r="R111" s="281"/>
      <x:c r="S111" s="281"/>
      <x:c r="T111" s="281"/>
      <x:c r="U111" s="281"/>
      <x:c r="V111" s="281"/>
      <x:c r="W111" s="281"/>
      <x:c r="X111" s="281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281"/>
      <x:c r="B112" s="281"/>
      <x:c r="C112" s="281"/>
      <x:c r="D112" s="281"/>
      <x:c r="E112" s="281"/>
      <x:c r="F112" s="281"/>
      <x:c r="G112" s="281"/>
      <x:c r="H112" s="281"/>
      <x:c r="I112" s="281"/>
      <x:c r="J112" s="281"/>
      <x:c r="K112" s="281"/>
      <x:c r="L112" s="281"/>
      <x:c r="M112" s="281"/>
      <x:c r="N112" s="281"/>
      <x:c r="O112" s="281"/>
      <x:c r="P112" s="281"/>
      <x:c r="Q112" s="281"/>
      <x:c r="R112" s="281"/>
      <x:c r="S112" s="281"/>
      <x:c r="T112" s="281"/>
      <x:c r="U112" s="281"/>
      <x:c r="V112" s="281"/>
      <x:c r="W112" s="281"/>
      <x:c r="X112" s="281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281"/>
      <x:c r="B113" s="281"/>
      <x:c r="C113" s="281"/>
      <x:c r="D113" s="281"/>
      <x:c r="E113" s="281"/>
      <x:c r="F113" s="281"/>
      <x:c r="G113" s="281"/>
      <x:c r="H113" s="281"/>
      <x:c r="I113" s="281"/>
      <x:c r="J113" s="281"/>
      <x:c r="K113" s="281"/>
      <x:c r="L113" s="281"/>
      <x:c r="M113" s="281"/>
      <x:c r="N113" s="281"/>
      <x:c r="O113" s="281"/>
      <x:c r="P113" s="281"/>
      <x:c r="Q113" s="281"/>
      <x:c r="R113" s="281"/>
      <x:c r="S113" s="281"/>
      <x:c r="T113" s="281"/>
      <x:c r="U113" s="281"/>
      <x:c r="V113" s="281"/>
      <x:c r="W113" s="281"/>
      <x:c r="X113" s="281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281"/>
      <x:c r="B114" s="281"/>
      <x:c r="C114" s="281"/>
      <x:c r="D114" s="281"/>
      <x:c r="E114" s="281"/>
      <x:c r="F114" s="281"/>
      <x:c r="G114" s="281"/>
      <x:c r="H114" s="281"/>
      <x:c r="I114" s="281"/>
      <x:c r="J114" s="281"/>
      <x:c r="K114" s="281"/>
      <x:c r="L114" s="281"/>
      <x:c r="M114" s="281"/>
      <x:c r="N114" s="281"/>
      <x:c r="O114" s="281"/>
      <x:c r="P114" s="281"/>
      <x:c r="Q114" s="281"/>
      <x:c r="R114" s="281"/>
      <x:c r="S114" s="281"/>
      <x:c r="T114" s="281"/>
      <x:c r="U114" s="281"/>
      <x:c r="V114" s="281"/>
      <x:c r="W114" s="281"/>
      <x:c r="X114" s="281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281"/>
      <x:c r="B115" s="281"/>
      <x:c r="C115" s="281"/>
      <x:c r="D115" s="281"/>
      <x:c r="E115" s="281"/>
      <x:c r="F115" s="281"/>
      <x:c r="G115" s="281"/>
      <x:c r="H115" s="281"/>
      <x:c r="I115" s="281"/>
      <x:c r="J115" s="281"/>
      <x:c r="K115" s="281"/>
      <x:c r="L115" s="281"/>
      <x:c r="M115" s="281"/>
      <x:c r="N115" s="281"/>
      <x:c r="O115" s="281"/>
      <x:c r="P115" s="281"/>
      <x:c r="Q115" s="281"/>
      <x:c r="R115" s="281"/>
      <x:c r="S115" s="281"/>
      <x:c r="T115" s="281"/>
      <x:c r="U115" s="281"/>
      <x:c r="V115" s="281"/>
      <x:c r="W115" s="281"/>
      <x:c r="X115" s="281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281"/>
      <x:c r="B116" s="281"/>
      <x:c r="C116" s="281"/>
      <x:c r="D116" s="281"/>
      <x:c r="E116" s="281"/>
      <x:c r="F116" s="281"/>
      <x:c r="G116" s="281"/>
      <x:c r="H116" s="281"/>
      <x:c r="I116" s="281"/>
      <x:c r="J116" s="281"/>
      <x:c r="K116" s="281"/>
      <x:c r="L116" s="281"/>
      <x:c r="M116" s="281"/>
      <x:c r="N116" s="281"/>
      <x:c r="O116" s="281"/>
      <x:c r="P116" s="281"/>
      <x:c r="Q116" s="281"/>
      <x:c r="R116" s="281"/>
      <x:c r="S116" s="281"/>
      <x:c r="T116" s="281"/>
      <x:c r="U116" s="281"/>
      <x:c r="V116" s="281"/>
      <x:c r="W116" s="281"/>
      <x:c r="X116" s="281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281"/>
      <x:c r="B117" s="281"/>
      <x:c r="C117" s="281"/>
      <x:c r="D117" s="281"/>
      <x:c r="E117" s="281"/>
      <x:c r="F117" s="281"/>
      <x:c r="G117" s="281"/>
      <x:c r="H117" s="281"/>
      <x:c r="I117" s="281"/>
      <x:c r="J117" s="281"/>
      <x:c r="K117" s="281"/>
      <x:c r="L117" s="281"/>
      <x:c r="M117" s="281"/>
      <x:c r="N117" s="281"/>
      <x:c r="O117" s="281"/>
      <x:c r="P117" s="281"/>
      <x:c r="Q117" s="281"/>
      <x:c r="R117" s="281"/>
      <x:c r="S117" s="281"/>
      <x:c r="T117" s="281"/>
      <x:c r="U117" s="281"/>
      <x:c r="V117" s="281"/>
      <x:c r="W117" s="281"/>
      <x:c r="X117" s="281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281"/>
      <x:c r="B118" s="281"/>
      <x:c r="C118" s="281"/>
      <x:c r="D118" s="281"/>
      <x:c r="E118" s="281"/>
      <x:c r="F118" s="281"/>
      <x:c r="G118" s="281"/>
      <x:c r="H118" s="281"/>
      <x:c r="I118" s="281"/>
      <x:c r="J118" s="281"/>
      <x:c r="K118" s="281"/>
      <x:c r="L118" s="281"/>
      <x:c r="M118" s="281"/>
      <x:c r="N118" s="281"/>
      <x:c r="O118" s="281"/>
      <x:c r="P118" s="281"/>
      <x:c r="Q118" s="281"/>
      <x:c r="R118" s="281"/>
      <x:c r="S118" s="281"/>
      <x:c r="T118" s="281"/>
      <x:c r="U118" s="281"/>
      <x:c r="V118" s="281"/>
      <x:c r="W118" s="281"/>
      <x:c r="X118" s="281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281"/>
      <x:c r="B119" s="281"/>
      <x:c r="C119" s="281"/>
      <x:c r="D119" s="281"/>
      <x:c r="E119" s="281"/>
      <x:c r="F119" s="281"/>
      <x:c r="G119" s="281"/>
      <x:c r="H119" s="281"/>
      <x:c r="I119" s="281"/>
      <x:c r="J119" s="281"/>
      <x:c r="K119" s="281"/>
      <x:c r="L119" s="281"/>
      <x:c r="M119" s="281"/>
      <x:c r="N119" s="281"/>
      <x:c r="O119" s="281"/>
      <x:c r="P119" s="281"/>
      <x:c r="Q119" s="281"/>
      <x:c r="R119" s="281"/>
      <x:c r="S119" s="281"/>
      <x:c r="T119" s="281"/>
      <x:c r="U119" s="281"/>
      <x:c r="V119" s="281"/>
      <x:c r="W119" s="281"/>
      <x:c r="X119" s="281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281"/>
      <x:c r="B120" s="281"/>
      <x:c r="C120" s="281"/>
      <x:c r="D120" s="281"/>
      <x:c r="E120" s="281"/>
      <x:c r="F120" s="281"/>
      <x:c r="G120" s="281"/>
      <x:c r="H120" s="281"/>
      <x:c r="I120" s="281"/>
      <x:c r="J120" s="281"/>
      <x:c r="K120" s="281"/>
      <x:c r="L120" s="281"/>
      <x:c r="M120" s="281"/>
      <x:c r="N120" s="281"/>
      <x:c r="O120" s="281"/>
      <x:c r="P120" s="281"/>
      <x:c r="Q120" s="281"/>
      <x:c r="R120" s="281"/>
      <x:c r="S120" s="281"/>
      <x:c r="T120" s="281"/>
      <x:c r="U120" s="281"/>
      <x:c r="V120" s="281"/>
      <x:c r="W120" s="281"/>
      <x:c r="X120" s="281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281"/>
      <x:c r="B121" s="281"/>
      <x:c r="C121" s="281"/>
      <x:c r="D121" s="281"/>
      <x:c r="E121" s="281"/>
      <x:c r="F121" s="281"/>
      <x:c r="G121" s="281"/>
      <x:c r="H121" s="281"/>
      <x:c r="I121" s="281"/>
      <x:c r="J121" s="281"/>
      <x:c r="K121" s="281"/>
      <x:c r="L121" s="281"/>
      <x:c r="M121" s="281"/>
      <x:c r="N121" s="281"/>
      <x:c r="O121" s="281"/>
      <x:c r="P121" s="281"/>
      <x:c r="Q121" s="281"/>
      <x:c r="R121" s="281"/>
      <x:c r="S121" s="281"/>
      <x:c r="T121" s="281"/>
      <x:c r="U121" s="281"/>
      <x:c r="V121" s="281"/>
      <x:c r="W121" s="281"/>
      <x:c r="X121" s="281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281"/>
      <x:c r="B122" s="281"/>
      <x:c r="C122" s="281"/>
      <x:c r="D122" s="281"/>
      <x:c r="E122" s="281"/>
      <x:c r="F122" s="281"/>
      <x:c r="G122" s="281"/>
      <x:c r="H122" s="281"/>
      <x:c r="I122" s="281"/>
      <x:c r="J122" s="281"/>
      <x:c r="K122" s="281"/>
      <x:c r="L122" s="281"/>
      <x:c r="M122" s="281"/>
      <x:c r="N122" s="281"/>
      <x:c r="O122" s="281"/>
      <x:c r="P122" s="281"/>
      <x:c r="Q122" s="281"/>
      <x:c r="R122" s="281"/>
      <x:c r="S122" s="281"/>
      <x:c r="T122" s="281"/>
      <x:c r="U122" s="281"/>
      <x:c r="V122" s="281"/>
      <x:c r="W122" s="281"/>
      <x:c r="X122" s="281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281"/>
      <x:c r="B123" s="281"/>
      <x:c r="C123" s="281"/>
      <x:c r="D123" s="281"/>
      <x:c r="E123" s="281"/>
      <x:c r="F123" s="281"/>
      <x:c r="G123" s="281"/>
      <x:c r="H123" s="281"/>
      <x:c r="I123" s="281"/>
      <x:c r="J123" s="281"/>
      <x:c r="K123" s="281"/>
      <x:c r="L123" s="281"/>
      <x:c r="M123" s="281"/>
      <x:c r="N123" s="281"/>
      <x:c r="O123" s="281"/>
      <x:c r="P123" s="281"/>
      <x:c r="Q123" s="281"/>
      <x:c r="R123" s="281"/>
      <x:c r="S123" s="281"/>
      <x:c r="T123" s="281"/>
      <x:c r="U123" s="281"/>
      <x:c r="V123" s="281"/>
      <x:c r="W123" s="281"/>
      <x:c r="X123" s="281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281"/>
      <x:c r="B124" s="281"/>
      <x:c r="C124" s="281"/>
      <x:c r="D124" s="281"/>
      <x:c r="E124" s="281"/>
      <x:c r="F124" s="281"/>
      <x:c r="G124" s="281"/>
      <x:c r="H124" s="281"/>
      <x:c r="I124" s="281"/>
      <x:c r="J124" s="281"/>
      <x:c r="K124" s="281"/>
      <x:c r="L124" s="281"/>
      <x:c r="M124" s="281"/>
      <x:c r="N124" s="281"/>
      <x:c r="O124" s="281"/>
      <x:c r="P124" s="281"/>
      <x:c r="Q124" s="281"/>
      <x:c r="R124" s="281"/>
      <x:c r="S124" s="281"/>
      <x:c r="T124" s="281"/>
      <x:c r="U124" s="281"/>
      <x:c r="V124" s="281"/>
      <x:c r="W124" s="281"/>
      <x:c r="X124" s="281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281"/>
      <x:c r="B125" s="281"/>
      <x:c r="C125" s="281"/>
      <x:c r="D125" s="281"/>
      <x:c r="E125" s="281"/>
      <x:c r="F125" s="281"/>
      <x:c r="G125" s="281"/>
      <x:c r="H125" s="281"/>
      <x:c r="I125" s="281"/>
      <x:c r="J125" s="281"/>
      <x:c r="K125" s="281"/>
      <x:c r="L125" s="281"/>
      <x:c r="M125" s="281"/>
      <x:c r="N125" s="281"/>
      <x:c r="O125" s="281"/>
      <x:c r="P125" s="281"/>
      <x:c r="Q125" s="281"/>
      <x:c r="R125" s="281"/>
      <x:c r="S125" s="281"/>
      <x:c r="T125" s="281"/>
      <x:c r="U125" s="281"/>
      <x:c r="V125" s="281"/>
      <x:c r="W125" s="281"/>
      <x:c r="X125" s="281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281"/>
      <x:c r="B126" s="281"/>
      <x:c r="C126" s="281"/>
      <x:c r="D126" s="281"/>
      <x:c r="E126" s="281"/>
      <x:c r="F126" s="281"/>
      <x:c r="G126" s="281"/>
      <x:c r="H126" s="281"/>
      <x:c r="I126" s="281"/>
      <x:c r="J126" s="281"/>
      <x:c r="K126" s="281"/>
      <x:c r="L126" s="281"/>
      <x:c r="M126" s="281"/>
      <x:c r="N126" s="281"/>
      <x:c r="O126" s="281"/>
      <x:c r="P126" s="281"/>
      <x:c r="Q126" s="281"/>
      <x:c r="R126" s="281"/>
      <x:c r="S126" s="281"/>
      <x:c r="T126" s="281"/>
      <x:c r="U126" s="281"/>
      <x:c r="V126" s="281"/>
      <x:c r="W126" s="281"/>
      <x:c r="X126" s="281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281"/>
      <x:c r="B127" s="281"/>
      <x:c r="C127" s="281"/>
      <x:c r="D127" s="281"/>
      <x:c r="E127" s="281"/>
      <x:c r="F127" s="281"/>
      <x:c r="G127" s="281"/>
      <x:c r="H127" s="281"/>
      <x:c r="I127" s="281"/>
      <x:c r="J127" s="281"/>
      <x:c r="K127" s="281"/>
      <x:c r="L127" s="281"/>
      <x:c r="M127" s="281"/>
      <x:c r="N127" s="281"/>
      <x:c r="O127" s="281"/>
      <x:c r="P127" s="281"/>
      <x:c r="Q127" s="281"/>
      <x:c r="R127" s="281"/>
      <x:c r="S127" s="281"/>
      <x:c r="T127" s="281"/>
      <x:c r="U127" s="281"/>
      <x:c r="V127" s="281"/>
      <x:c r="W127" s="281"/>
      <x:c r="X127" s="281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281"/>
      <x:c r="B128" s="281"/>
      <x:c r="C128" s="281"/>
      <x:c r="D128" s="281"/>
      <x:c r="E128" s="281"/>
      <x:c r="F128" s="281"/>
      <x:c r="G128" s="281"/>
      <x:c r="H128" s="281"/>
      <x:c r="I128" s="281"/>
      <x:c r="J128" s="281"/>
      <x:c r="K128" s="281"/>
      <x:c r="L128" s="281"/>
      <x:c r="M128" s="281"/>
      <x:c r="N128" s="281"/>
      <x:c r="O128" s="281"/>
      <x:c r="P128" s="281"/>
      <x:c r="Q128" s="281"/>
      <x:c r="R128" s="281"/>
      <x:c r="S128" s="281"/>
      <x:c r="T128" s="281"/>
      <x:c r="U128" s="281"/>
      <x:c r="V128" s="281"/>
      <x:c r="W128" s="281"/>
      <x:c r="X128" s="281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281"/>
      <x:c r="B129" s="281"/>
      <x:c r="C129" s="281"/>
      <x:c r="D129" s="281"/>
      <x:c r="E129" s="281"/>
      <x:c r="F129" s="281"/>
      <x:c r="G129" s="281"/>
      <x:c r="H129" s="281"/>
      <x:c r="I129" s="281"/>
      <x:c r="J129" s="281"/>
      <x:c r="K129" s="281"/>
      <x:c r="L129" s="281"/>
      <x:c r="M129" s="281"/>
      <x:c r="N129" s="281"/>
      <x:c r="O129" s="281"/>
      <x:c r="P129" s="281"/>
      <x:c r="Q129" s="281"/>
      <x:c r="R129" s="281"/>
      <x:c r="S129" s="281"/>
      <x:c r="T129" s="281"/>
      <x:c r="U129" s="281"/>
      <x:c r="V129" s="281"/>
      <x:c r="W129" s="281"/>
      <x:c r="X129" s="281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281"/>
      <x:c r="B130" s="281"/>
      <x:c r="C130" s="281"/>
      <x:c r="D130" s="281"/>
      <x:c r="E130" s="281"/>
      <x:c r="F130" s="281"/>
      <x:c r="G130" s="281"/>
      <x:c r="H130" s="281"/>
      <x:c r="I130" s="281"/>
      <x:c r="J130" s="281"/>
      <x:c r="K130" s="281"/>
      <x:c r="L130" s="281"/>
      <x:c r="M130" s="281"/>
      <x:c r="N130" s="281"/>
      <x:c r="O130" s="281"/>
      <x:c r="P130" s="281"/>
      <x:c r="Q130" s="281"/>
      <x:c r="R130" s="281"/>
      <x:c r="S130" s="281"/>
      <x:c r="T130" s="281"/>
      <x:c r="U130" s="281"/>
      <x:c r="V130" s="281"/>
      <x:c r="W130" s="281"/>
      <x:c r="X130" s="281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281"/>
      <x:c r="B131" s="281"/>
      <x:c r="C131" s="281"/>
      <x:c r="D131" s="281"/>
      <x:c r="E131" s="281"/>
      <x:c r="F131" s="281"/>
      <x:c r="G131" s="281"/>
      <x:c r="H131" s="281"/>
      <x:c r="I131" s="281"/>
      <x:c r="J131" s="281"/>
      <x:c r="K131" s="281"/>
      <x:c r="L131" s="281"/>
      <x:c r="M131" s="281"/>
      <x:c r="N131" s="281"/>
      <x:c r="O131" s="281"/>
      <x:c r="P131" s="281"/>
      <x:c r="Q131" s="281"/>
      <x:c r="R131" s="281"/>
      <x:c r="S131" s="281"/>
      <x:c r="T131" s="281"/>
      <x:c r="U131" s="281"/>
      <x:c r="V131" s="281"/>
      <x:c r="W131" s="281"/>
      <x:c r="X131" s="281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281"/>
      <x:c r="B132" s="281"/>
      <x:c r="C132" s="281"/>
      <x:c r="D132" s="281"/>
      <x:c r="E132" s="281"/>
      <x:c r="F132" s="281"/>
      <x:c r="G132" s="281"/>
      <x:c r="H132" s="281"/>
      <x:c r="I132" s="281"/>
      <x:c r="J132" s="281"/>
      <x:c r="K132" s="281"/>
      <x:c r="L132" s="281"/>
      <x:c r="M132" s="281"/>
      <x:c r="N132" s="281"/>
      <x:c r="O132" s="281"/>
      <x:c r="P132" s="281"/>
      <x:c r="Q132" s="281"/>
      <x:c r="R132" s="281"/>
      <x:c r="S132" s="281"/>
      <x:c r="T132" s="281"/>
      <x:c r="U132" s="281"/>
      <x:c r="V132" s="281"/>
      <x:c r="W132" s="281"/>
      <x:c r="X132" s="281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281"/>
      <x:c r="B133" s="281"/>
      <x:c r="C133" s="281"/>
      <x:c r="D133" s="281"/>
      <x:c r="E133" s="281"/>
      <x:c r="F133" s="281"/>
      <x:c r="G133" s="281"/>
      <x:c r="H133" s="281"/>
      <x:c r="I133" s="281"/>
      <x:c r="J133" s="281"/>
      <x:c r="K133" s="281"/>
      <x:c r="L133" s="281"/>
      <x:c r="M133" s="281"/>
      <x:c r="N133" s="281"/>
      <x:c r="O133" s="281"/>
      <x:c r="P133" s="281"/>
      <x:c r="Q133" s="281"/>
      <x:c r="R133" s="281"/>
      <x:c r="S133" s="281"/>
      <x:c r="T133" s="281"/>
      <x:c r="U133" s="281"/>
      <x:c r="V133" s="281"/>
      <x:c r="W133" s="281"/>
      <x:c r="X133" s="281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281"/>
      <x:c r="B134" s="281"/>
      <x:c r="C134" s="281"/>
      <x:c r="D134" s="281"/>
      <x:c r="E134" s="281"/>
      <x:c r="F134" s="281"/>
      <x:c r="G134" s="281"/>
      <x:c r="H134" s="281"/>
      <x:c r="I134" s="281"/>
      <x:c r="J134" s="281"/>
      <x:c r="K134" s="281"/>
      <x:c r="L134" s="281"/>
      <x:c r="M134" s="281"/>
      <x:c r="N134" s="281"/>
      <x:c r="O134" s="281"/>
      <x:c r="P134" s="281"/>
      <x:c r="Q134" s="281"/>
      <x:c r="R134" s="281"/>
      <x:c r="S134" s="281"/>
      <x:c r="T134" s="281"/>
      <x:c r="U134" s="281"/>
      <x:c r="V134" s="281"/>
      <x:c r="W134" s="281"/>
      <x:c r="X134" s="281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281"/>
      <x:c r="B135" s="281"/>
      <x:c r="C135" s="281"/>
      <x:c r="D135" s="281"/>
      <x:c r="E135" s="281"/>
      <x:c r="F135" s="281"/>
      <x:c r="G135" s="281"/>
      <x:c r="H135" s="281"/>
      <x:c r="I135" s="281"/>
      <x:c r="J135" s="281"/>
      <x:c r="K135" s="281"/>
      <x:c r="L135" s="281"/>
      <x:c r="M135" s="281"/>
      <x:c r="N135" s="281"/>
      <x:c r="O135" s="281"/>
      <x:c r="P135" s="281"/>
      <x:c r="Q135" s="281"/>
      <x:c r="R135" s="281"/>
      <x:c r="S135" s="281"/>
      <x:c r="T135" s="281"/>
      <x:c r="U135" s="281"/>
      <x:c r="V135" s="281"/>
      <x:c r="W135" s="281"/>
      <x:c r="X135" s="281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281"/>
      <x:c r="B136" s="281"/>
      <x:c r="C136" s="281"/>
      <x:c r="D136" s="281"/>
      <x:c r="E136" s="281"/>
      <x:c r="F136" s="281"/>
      <x:c r="G136" s="281"/>
      <x:c r="H136" s="281"/>
      <x:c r="I136" s="281"/>
      <x:c r="J136" s="281"/>
      <x:c r="K136" s="281"/>
      <x:c r="L136" s="281"/>
      <x:c r="M136" s="281"/>
      <x:c r="N136" s="281"/>
      <x:c r="O136" s="281"/>
      <x:c r="P136" s="281"/>
      <x:c r="Q136" s="281"/>
      <x:c r="R136" s="281"/>
      <x:c r="S136" s="281"/>
      <x:c r="T136" s="281"/>
      <x:c r="U136" s="281"/>
      <x:c r="V136" s="281"/>
      <x:c r="W136" s="281"/>
      <x:c r="X136" s="281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281"/>
      <x:c r="B137" s="281"/>
      <x:c r="C137" s="281"/>
      <x:c r="D137" s="281"/>
      <x:c r="E137" s="281"/>
      <x:c r="F137" s="281"/>
      <x:c r="G137" s="281"/>
      <x:c r="H137" s="281"/>
      <x:c r="I137" s="281"/>
      <x:c r="J137" s="281"/>
      <x:c r="K137" s="281"/>
      <x:c r="L137" s="281"/>
      <x:c r="M137" s="281"/>
      <x:c r="N137" s="281"/>
      <x:c r="O137" s="281"/>
      <x:c r="P137" s="281"/>
      <x:c r="Q137" s="281"/>
      <x:c r="R137" s="281"/>
      <x:c r="S137" s="281"/>
      <x:c r="T137" s="281"/>
      <x:c r="U137" s="281"/>
      <x:c r="V137" s="281"/>
      <x:c r="W137" s="281"/>
      <x:c r="X137" s="281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281"/>
      <x:c r="B138" s="281"/>
      <x:c r="C138" s="281"/>
      <x:c r="D138" s="281"/>
      <x:c r="E138" s="281"/>
      <x:c r="F138" s="281"/>
      <x:c r="G138" s="281"/>
      <x:c r="H138" s="281"/>
      <x:c r="I138" s="281"/>
      <x:c r="J138" s="281"/>
      <x:c r="K138" s="281"/>
      <x:c r="L138" s="281"/>
      <x:c r="M138" s="281"/>
      <x:c r="N138" s="281"/>
      <x:c r="O138" s="281"/>
      <x:c r="P138" s="281"/>
      <x:c r="Q138" s="281"/>
      <x:c r="R138" s="281"/>
      <x:c r="S138" s="281"/>
      <x:c r="T138" s="281"/>
      <x:c r="U138" s="281"/>
      <x:c r="V138" s="281"/>
      <x:c r="W138" s="281"/>
      <x:c r="X138" s="281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281"/>
      <x:c r="B139" s="281"/>
      <x:c r="C139" s="281"/>
      <x:c r="D139" s="281"/>
      <x:c r="E139" s="281"/>
      <x:c r="F139" s="281"/>
      <x:c r="G139" s="281"/>
      <x:c r="H139" s="281"/>
      <x:c r="I139" s="281"/>
      <x:c r="J139" s="281"/>
      <x:c r="K139" s="281"/>
      <x:c r="L139" s="281"/>
      <x:c r="M139" s="281"/>
      <x:c r="N139" s="281"/>
      <x:c r="O139" s="281"/>
      <x:c r="P139" s="281"/>
      <x:c r="Q139" s="281"/>
      <x:c r="R139" s="281"/>
      <x:c r="S139" s="281"/>
      <x:c r="T139" s="281"/>
      <x:c r="U139" s="281"/>
      <x:c r="V139" s="281"/>
      <x:c r="W139" s="281"/>
      <x:c r="X139" s="281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281"/>
      <x:c r="B140" s="281"/>
      <x:c r="C140" s="281"/>
      <x:c r="D140" s="281"/>
      <x:c r="E140" s="281"/>
      <x:c r="F140" s="281"/>
      <x:c r="G140" s="281"/>
      <x:c r="H140" s="281"/>
      <x:c r="I140" s="281"/>
      <x:c r="J140" s="281"/>
      <x:c r="K140" s="281"/>
      <x:c r="L140" s="281"/>
      <x:c r="M140" s="281"/>
      <x:c r="N140" s="281"/>
      <x:c r="O140" s="281"/>
      <x:c r="P140" s="281"/>
      <x:c r="Q140" s="281"/>
      <x:c r="R140" s="281"/>
      <x:c r="S140" s="281"/>
      <x:c r="T140" s="281"/>
      <x:c r="U140" s="281"/>
      <x:c r="V140" s="281"/>
      <x:c r="W140" s="281"/>
      <x:c r="X140" s="281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281"/>
      <x:c r="B141" s="281"/>
      <x:c r="C141" s="281"/>
      <x:c r="D141" s="281"/>
      <x:c r="E141" s="281"/>
      <x:c r="F141" s="281"/>
      <x:c r="G141" s="281"/>
      <x:c r="H141" s="281"/>
      <x:c r="I141" s="281"/>
      <x:c r="J141" s="281"/>
      <x:c r="K141" s="281"/>
      <x:c r="L141" s="281"/>
      <x:c r="M141" s="281"/>
      <x:c r="N141" s="281"/>
      <x:c r="O141" s="281"/>
      <x:c r="P141" s="281"/>
      <x:c r="Q141" s="281"/>
      <x:c r="R141" s="281"/>
      <x:c r="S141" s="281"/>
      <x:c r="T141" s="281"/>
      <x:c r="U141" s="281"/>
      <x:c r="V141" s="281"/>
      <x:c r="W141" s="281"/>
      <x:c r="X141" s="281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281"/>
      <x:c r="B142" s="281"/>
      <x:c r="C142" s="281"/>
      <x:c r="D142" s="281"/>
      <x:c r="E142" s="281"/>
      <x:c r="F142" s="281"/>
      <x:c r="G142" s="281"/>
      <x:c r="H142" s="281"/>
      <x:c r="I142" s="281"/>
      <x:c r="J142" s="281"/>
      <x:c r="K142" s="281"/>
      <x:c r="L142" s="281"/>
      <x:c r="M142" s="281"/>
      <x:c r="N142" s="281"/>
      <x:c r="O142" s="281"/>
      <x:c r="P142" s="281"/>
      <x:c r="Q142" s="281"/>
      <x:c r="R142" s="281"/>
      <x:c r="S142" s="281"/>
      <x:c r="T142" s="281"/>
      <x:c r="U142" s="281"/>
      <x:c r="V142" s="281"/>
      <x:c r="W142" s="281"/>
      <x:c r="X142" s="281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281"/>
      <x:c r="B143" s="281"/>
      <x:c r="C143" s="281"/>
      <x:c r="D143" s="281"/>
      <x:c r="E143" s="281"/>
      <x:c r="F143" s="281"/>
      <x:c r="G143" s="281"/>
      <x:c r="H143" s="281"/>
      <x:c r="I143" s="281"/>
      <x:c r="J143" s="281"/>
      <x:c r="K143" s="281"/>
      <x:c r="L143" s="281"/>
      <x:c r="M143" s="281"/>
      <x:c r="N143" s="281"/>
      <x:c r="O143" s="281"/>
      <x:c r="P143" s="281"/>
      <x:c r="Q143" s="281"/>
      <x:c r="R143" s="281"/>
      <x:c r="S143" s="281"/>
      <x:c r="T143" s="281"/>
      <x:c r="U143" s="281"/>
      <x:c r="V143" s="281"/>
      <x:c r="W143" s="281"/>
      <x:c r="X143" s="281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281"/>
      <x:c r="B144" s="281"/>
      <x:c r="C144" s="281"/>
      <x:c r="D144" s="281"/>
      <x:c r="E144" s="281"/>
      <x:c r="F144" s="281"/>
      <x:c r="G144" s="281"/>
      <x:c r="H144" s="281"/>
      <x:c r="I144" s="281"/>
      <x:c r="J144" s="281"/>
      <x:c r="K144" s="281"/>
      <x:c r="L144" s="281"/>
      <x:c r="M144" s="281"/>
      <x:c r="N144" s="281"/>
      <x:c r="O144" s="281"/>
      <x:c r="P144" s="281"/>
      <x:c r="Q144" s="281"/>
      <x:c r="R144" s="281"/>
      <x:c r="S144" s="281"/>
      <x:c r="T144" s="281"/>
      <x:c r="U144" s="281"/>
      <x:c r="V144" s="281"/>
      <x:c r="W144" s="281"/>
      <x:c r="X144" s="281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281"/>
      <x:c r="B145" s="281"/>
      <x:c r="C145" s="281"/>
      <x:c r="D145" s="281"/>
      <x:c r="E145" s="281"/>
      <x:c r="F145" s="281"/>
      <x:c r="G145" s="281"/>
      <x:c r="H145" s="281"/>
      <x:c r="I145" s="281"/>
      <x:c r="J145" s="281"/>
      <x:c r="K145" s="281"/>
      <x:c r="L145" s="281"/>
      <x:c r="M145" s="281"/>
      <x:c r="N145" s="281"/>
      <x:c r="O145" s="281"/>
      <x:c r="P145" s="281"/>
      <x:c r="Q145" s="281"/>
      <x:c r="R145" s="281"/>
      <x:c r="S145" s="281"/>
      <x:c r="T145" s="281"/>
      <x:c r="U145" s="281"/>
      <x:c r="V145" s="281"/>
      <x:c r="W145" s="281"/>
      <x:c r="X145" s="281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281"/>
      <x:c r="B146" s="281"/>
      <x:c r="C146" s="281"/>
      <x:c r="D146" s="281"/>
      <x:c r="E146" s="281"/>
      <x:c r="F146" s="281"/>
      <x:c r="G146" s="281"/>
      <x:c r="H146" s="281"/>
      <x:c r="I146" s="281"/>
      <x:c r="J146" s="281"/>
      <x:c r="K146" s="281"/>
      <x:c r="L146" s="281"/>
      <x:c r="M146" s="281"/>
      <x:c r="N146" s="281"/>
      <x:c r="O146" s="281"/>
      <x:c r="P146" s="281"/>
      <x:c r="Q146" s="281"/>
      <x:c r="R146" s="281"/>
      <x:c r="S146" s="281"/>
      <x:c r="T146" s="281"/>
      <x:c r="U146" s="281"/>
      <x:c r="V146" s="281"/>
      <x:c r="W146" s="281"/>
      <x:c r="X146" s="281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281"/>
      <x:c r="B147" s="281"/>
      <x:c r="C147" s="281"/>
      <x:c r="D147" s="281"/>
      <x:c r="E147" s="281"/>
      <x:c r="F147" s="281"/>
      <x:c r="G147" s="281"/>
      <x:c r="H147" s="281"/>
      <x:c r="I147" s="281"/>
      <x:c r="J147" s="281"/>
      <x:c r="K147" s="281"/>
      <x:c r="L147" s="281"/>
      <x:c r="M147" s="281"/>
      <x:c r="N147" s="281"/>
      <x:c r="O147" s="281"/>
      <x:c r="P147" s="281"/>
      <x:c r="Q147" s="281"/>
      <x:c r="R147" s="281"/>
      <x:c r="S147" s="281"/>
      <x:c r="T147" s="281"/>
      <x:c r="U147" s="281"/>
      <x:c r="V147" s="281"/>
      <x:c r="W147" s="281"/>
      <x:c r="X147" s="281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281"/>
      <x:c r="B148" s="281"/>
      <x:c r="C148" s="281"/>
      <x:c r="D148" s="281"/>
      <x:c r="E148" s="281"/>
      <x:c r="F148" s="281"/>
      <x:c r="G148" s="281"/>
      <x:c r="H148" s="281"/>
      <x:c r="I148" s="281"/>
      <x:c r="J148" s="281"/>
      <x:c r="K148" s="281"/>
      <x:c r="L148" s="281"/>
      <x:c r="M148" s="281"/>
      <x:c r="N148" s="281"/>
      <x:c r="O148" s="281"/>
      <x:c r="P148" s="281"/>
      <x:c r="Q148" s="281"/>
      <x:c r="R148" s="281"/>
      <x:c r="S148" s="281"/>
      <x:c r="T148" s="281"/>
      <x:c r="U148" s="281"/>
      <x:c r="V148" s="281"/>
      <x:c r="W148" s="281"/>
      <x:c r="X148" s="281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281"/>
      <x:c r="B149" s="281"/>
      <x:c r="C149" s="281"/>
      <x:c r="D149" s="281"/>
      <x:c r="E149" s="281"/>
      <x:c r="F149" s="281"/>
      <x:c r="G149" s="281"/>
      <x:c r="H149" s="281"/>
      <x:c r="I149" s="281"/>
      <x:c r="J149" s="281"/>
      <x:c r="K149" s="281"/>
      <x:c r="L149" s="281"/>
      <x:c r="M149" s="281"/>
      <x:c r="N149" s="281"/>
      <x:c r="O149" s="281"/>
      <x:c r="P149" s="281"/>
      <x:c r="Q149" s="281"/>
      <x:c r="R149" s="281"/>
      <x:c r="S149" s="281"/>
      <x:c r="T149" s="281"/>
      <x:c r="U149" s="281"/>
      <x:c r="V149" s="281"/>
      <x:c r="W149" s="281"/>
      <x:c r="X149" s="281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281"/>
      <x:c r="B150" s="281"/>
      <x:c r="C150" s="281"/>
      <x:c r="D150" s="281"/>
      <x:c r="E150" s="281"/>
      <x:c r="F150" s="281"/>
      <x:c r="G150" s="281"/>
      <x:c r="H150" s="281"/>
      <x:c r="I150" s="281"/>
      <x:c r="J150" s="281"/>
      <x:c r="K150" s="281"/>
      <x:c r="L150" s="281"/>
      <x:c r="M150" s="281"/>
      <x:c r="N150" s="281"/>
      <x:c r="O150" s="281"/>
      <x:c r="P150" s="281"/>
      <x:c r="Q150" s="281"/>
      <x:c r="R150" s="281"/>
      <x:c r="S150" s="281"/>
      <x:c r="T150" s="281"/>
      <x:c r="U150" s="281"/>
      <x:c r="V150" s="281"/>
      <x:c r="W150" s="281"/>
      <x:c r="X150" s="281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281"/>
      <x:c r="B151" s="281"/>
      <x:c r="C151" s="281"/>
      <x:c r="D151" s="281"/>
      <x:c r="E151" s="281"/>
      <x:c r="F151" s="281"/>
      <x:c r="G151" s="281"/>
      <x:c r="H151" s="281"/>
      <x:c r="I151" s="281"/>
      <x:c r="J151" s="281"/>
      <x:c r="K151" s="281"/>
      <x:c r="L151" s="281"/>
      <x:c r="M151" s="281"/>
      <x:c r="N151" s="281"/>
      <x:c r="O151" s="281"/>
      <x:c r="P151" s="281"/>
      <x:c r="Q151" s="281"/>
      <x:c r="R151" s="281"/>
      <x:c r="S151" s="281"/>
      <x:c r="T151" s="281"/>
      <x:c r="U151" s="281"/>
      <x:c r="V151" s="281"/>
      <x:c r="W151" s="281"/>
      <x:c r="X151" s="281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281"/>
      <x:c r="B152" s="281"/>
      <x:c r="C152" s="281"/>
      <x:c r="D152" s="281"/>
      <x:c r="E152" s="281"/>
      <x:c r="F152" s="281"/>
      <x:c r="G152" s="281"/>
      <x:c r="H152" s="281"/>
      <x:c r="I152" s="281"/>
      <x:c r="J152" s="281"/>
      <x:c r="K152" s="281"/>
      <x:c r="L152" s="281"/>
      <x:c r="M152" s="281"/>
      <x:c r="N152" s="281"/>
      <x:c r="O152" s="281"/>
      <x:c r="P152" s="281"/>
      <x:c r="Q152" s="281"/>
      <x:c r="R152" s="281"/>
      <x:c r="S152" s="281"/>
      <x:c r="T152" s="281"/>
      <x:c r="U152" s="281"/>
      <x:c r="V152" s="281"/>
      <x:c r="W152" s="281"/>
      <x:c r="X152" s="281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281"/>
      <x:c r="B153" s="281"/>
      <x:c r="C153" s="281"/>
      <x:c r="D153" s="281"/>
      <x:c r="E153" s="281"/>
      <x:c r="F153" s="281"/>
      <x:c r="G153" s="281"/>
      <x:c r="H153" s="281"/>
      <x:c r="I153" s="281"/>
      <x:c r="J153" s="281"/>
      <x:c r="K153" s="281"/>
      <x:c r="L153" s="281"/>
      <x:c r="M153" s="281"/>
      <x:c r="N153" s="281"/>
      <x:c r="O153" s="281"/>
      <x:c r="P153" s="281"/>
      <x:c r="Q153" s="281"/>
      <x:c r="R153" s="281"/>
      <x:c r="S153" s="281"/>
      <x:c r="T153" s="281"/>
      <x:c r="U153" s="281"/>
      <x:c r="V153" s="281"/>
      <x:c r="W153" s="281"/>
      <x:c r="X153" s="281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281"/>
      <x:c r="B154" s="281"/>
      <x:c r="C154" s="281"/>
      <x:c r="D154" s="281"/>
      <x:c r="E154" s="281"/>
      <x:c r="F154" s="281"/>
      <x:c r="G154" s="281"/>
      <x:c r="H154" s="281"/>
      <x:c r="I154" s="281"/>
      <x:c r="J154" s="281"/>
      <x:c r="K154" s="281"/>
      <x:c r="L154" s="281"/>
      <x:c r="M154" s="281"/>
      <x:c r="N154" s="281"/>
      <x:c r="O154" s="281"/>
      <x:c r="P154" s="281"/>
      <x:c r="Q154" s="281"/>
      <x:c r="R154" s="281"/>
      <x:c r="S154" s="281"/>
      <x:c r="T154" s="281"/>
      <x:c r="U154" s="281"/>
      <x:c r="V154" s="281"/>
      <x:c r="W154" s="281"/>
      <x:c r="X154" s="281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281"/>
      <x:c r="B155" s="281"/>
      <x:c r="C155" s="281"/>
      <x:c r="D155" s="281"/>
      <x:c r="E155" s="281"/>
      <x:c r="F155" s="281"/>
      <x:c r="G155" s="281"/>
      <x:c r="H155" s="281"/>
      <x:c r="I155" s="281"/>
      <x:c r="J155" s="281"/>
      <x:c r="K155" s="281"/>
      <x:c r="L155" s="281"/>
      <x:c r="M155" s="281"/>
      <x:c r="N155" s="281"/>
      <x:c r="O155" s="281"/>
      <x:c r="P155" s="281"/>
      <x:c r="Q155" s="281"/>
      <x:c r="R155" s="281"/>
      <x:c r="S155" s="281"/>
      <x:c r="T155" s="281"/>
      <x:c r="U155" s="281"/>
      <x:c r="V155" s="281"/>
      <x:c r="W155" s="281"/>
      <x:c r="X155" s="281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281"/>
      <x:c r="B156" s="281"/>
      <x:c r="C156" s="281"/>
      <x:c r="D156" s="281"/>
      <x:c r="E156" s="281"/>
      <x:c r="F156" s="281"/>
      <x:c r="G156" s="281"/>
      <x:c r="H156" s="281"/>
      <x:c r="I156" s="281"/>
      <x:c r="J156" s="281"/>
      <x:c r="K156" s="281"/>
      <x:c r="L156" s="281"/>
      <x:c r="M156" s="281"/>
      <x:c r="N156" s="281"/>
      <x:c r="O156" s="281"/>
      <x:c r="P156" s="281"/>
      <x:c r="Q156" s="281"/>
      <x:c r="R156" s="281"/>
      <x:c r="S156" s="281"/>
      <x:c r="T156" s="281"/>
      <x:c r="U156" s="281"/>
      <x:c r="V156" s="281"/>
      <x:c r="W156" s="281"/>
      <x:c r="X156" s="281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281"/>
      <x:c r="B157" s="281"/>
      <x:c r="C157" s="281"/>
      <x:c r="D157" s="281"/>
      <x:c r="E157" s="281"/>
      <x:c r="F157" s="281"/>
      <x:c r="G157" s="281"/>
      <x:c r="H157" s="281"/>
      <x:c r="I157" s="281"/>
      <x:c r="J157" s="281"/>
      <x:c r="K157" s="281"/>
      <x:c r="L157" s="281"/>
      <x:c r="M157" s="281"/>
      <x:c r="N157" s="281"/>
      <x:c r="O157" s="281"/>
      <x:c r="P157" s="281"/>
      <x:c r="Q157" s="281"/>
      <x:c r="R157" s="281"/>
      <x:c r="S157" s="281"/>
      <x:c r="T157" s="281"/>
      <x:c r="U157" s="281"/>
      <x:c r="V157" s="281"/>
      <x:c r="W157" s="281"/>
      <x:c r="X157" s="281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281"/>
      <x:c r="B158" s="281"/>
      <x:c r="C158" s="281"/>
      <x:c r="D158" s="281"/>
      <x:c r="E158" s="281"/>
      <x:c r="F158" s="281"/>
      <x:c r="G158" s="281"/>
      <x:c r="H158" s="281"/>
      <x:c r="I158" s="281"/>
      <x:c r="J158" s="281"/>
      <x:c r="K158" s="281"/>
      <x:c r="L158" s="281"/>
      <x:c r="M158" s="281"/>
      <x:c r="N158" s="281"/>
      <x:c r="O158" s="281"/>
      <x:c r="P158" s="281"/>
      <x:c r="Q158" s="281"/>
      <x:c r="R158" s="281"/>
      <x:c r="S158" s="281"/>
      <x:c r="T158" s="281"/>
      <x:c r="U158" s="281"/>
      <x:c r="V158" s="281"/>
      <x:c r="W158" s="281"/>
      <x:c r="X158" s="281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281"/>
      <x:c r="B159" s="281"/>
      <x:c r="C159" s="281"/>
      <x:c r="D159" s="281"/>
      <x:c r="E159" s="281"/>
      <x:c r="F159" s="281"/>
      <x:c r="G159" s="281"/>
      <x:c r="H159" s="281"/>
      <x:c r="I159" s="281"/>
      <x:c r="J159" s="281"/>
      <x:c r="K159" s="281"/>
      <x:c r="L159" s="281"/>
      <x:c r="M159" s="281"/>
      <x:c r="N159" s="281"/>
      <x:c r="O159" s="281"/>
      <x:c r="P159" s="281"/>
      <x:c r="Q159" s="281"/>
      <x:c r="R159" s="281"/>
      <x:c r="S159" s="281"/>
      <x:c r="T159" s="281"/>
      <x:c r="U159" s="281"/>
      <x:c r="V159" s="281"/>
      <x:c r="W159" s="281"/>
      <x:c r="X159" s="281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281"/>
      <x:c r="B160" s="281"/>
      <x:c r="C160" s="281"/>
      <x:c r="D160" s="281"/>
      <x:c r="E160" s="281"/>
      <x:c r="F160" s="281"/>
      <x:c r="G160" s="281"/>
      <x:c r="H160" s="281"/>
      <x:c r="I160" s="281"/>
      <x:c r="J160" s="281"/>
      <x:c r="K160" s="281"/>
      <x:c r="L160" s="281"/>
      <x:c r="M160" s="281"/>
      <x:c r="N160" s="281"/>
      <x:c r="O160" s="281"/>
      <x:c r="P160" s="281"/>
      <x:c r="Q160" s="281"/>
      <x:c r="R160" s="281"/>
      <x:c r="S160" s="281"/>
      <x:c r="T160" s="281"/>
      <x:c r="U160" s="281"/>
      <x:c r="V160" s="281"/>
      <x:c r="W160" s="281"/>
      <x:c r="X160" s="281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281"/>
      <x:c r="B161" s="281"/>
      <x:c r="C161" s="281"/>
      <x:c r="D161" s="281"/>
      <x:c r="E161" s="281"/>
      <x:c r="F161" s="281"/>
      <x:c r="G161" s="281"/>
      <x:c r="H161" s="281"/>
      <x:c r="I161" s="281"/>
      <x:c r="J161" s="281"/>
      <x:c r="K161" s="281"/>
      <x:c r="L161" s="281"/>
      <x:c r="M161" s="281"/>
      <x:c r="N161" s="281"/>
      <x:c r="O161" s="281"/>
      <x:c r="P161" s="281"/>
      <x:c r="Q161" s="281"/>
      <x:c r="R161" s="281"/>
      <x:c r="S161" s="281"/>
      <x:c r="T161" s="281"/>
      <x:c r="U161" s="281"/>
      <x:c r="V161" s="281"/>
      <x:c r="W161" s="281"/>
      <x:c r="X161" s="281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281"/>
      <x:c r="B162" s="281"/>
      <x:c r="C162" s="281"/>
      <x:c r="D162" s="281"/>
      <x:c r="E162" s="281"/>
      <x:c r="F162" s="281"/>
      <x:c r="G162" s="281"/>
      <x:c r="H162" s="281"/>
      <x:c r="I162" s="281"/>
      <x:c r="J162" s="281"/>
      <x:c r="K162" s="281"/>
      <x:c r="L162" s="281"/>
      <x:c r="M162" s="281"/>
      <x:c r="N162" s="281"/>
      <x:c r="O162" s="281"/>
      <x:c r="P162" s="281"/>
      <x:c r="Q162" s="281"/>
      <x:c r="R162" s="281"/>
      <x:c r="S162" s="281"/>
      <x:c r="T162" s="281"/>
      <x:c r="U162" s="281"/>
      <x:c r="V162" s="281"/>
      <x:c r="W162" s="281"/>
      <x:c r="X162" s="281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281"/>
      <x:c r="B163" s="281"/>
      <x:c r="C163" s="281"/>
      <x:c r="D163" s="281"/>
      <x:c r="E163" s="281"/>
      <x:c r="F163" s="281"/>
      <x:c r="G163" s="281"/>
      <x:c r="H163" s="281"/>
      <x:c r="I163" s="281"/>
      <x:c r="J163" s="281"/>
      <x:c r="K163" s="281"/>
      <x:c r="L163" s="281"/>
      <x:c r="M163" s="281"/>
      <x:c r="N163" s="281"/>
      <x:c r="O163" s="281"/>
      <x:c r="P163" s="281"/>
      <x:c r="Q163" s="281"/>
      <x:c r="R163" s="281"/>
      <x:c r="S163" s="281"/>
      <x:c r="T163" s="281"/>
      <x:c r="U163" s="281"/>
      <x:c r="V163" s="281"/>
      <x:c r="W163" s="281"/>
      <x:c r="X163" s="281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281"/>
      <x:c r="B164" s="281"/>
      <x:c r="C164" s="281"/>
      <x:c r="D164" s="281"/>
      <x:c r="E164" s="281"/>
      <x:c r="F164" s="281"/>
      <x:c r="G164" s="281"/>
      <x:c r="H164" s="281"/>
      <x:c r="I164" s="281"/>
      <x:c r="J164" s="281"/>
      <x:c r="K164" s="281"/>
      <x:c r="L164" s="281"/>
      <x:c r="M164" s="281"/>
      <x:c r="N164" s="281"/>
      <x:c r="O164" s="281"/>
      <x:c r="P164" s="281"/>
      <x:c r="Q164" s="281"/>
      <x:c r="R164" s="281"/>
      <x:c r="S164" s="281"/>
      <x:c r="T164" s="281"/>
      <x:c r="U164" s="281"/>
      <x:c r="V164" s="281"/>
      <x:c r="W164" s="281"/>
      <x:c r="X164" s="281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281"/>
      <x:c r="B165" s="281"/>
      <x:c r="C165" s="281"/>
      <x:c r="D165" s="281"/>
      <x:c r="E165" s="281"/>
      <x:c r="F165" s="281"/>
      <x:c r="G165" s="281"/>
      <x:c r="H165" s="281"/>
      <x:c r="I165" s="281"/>
      <x:c r="J165" s="281"/>
      <x:c r="K165" s="281"/>
      <x:c r="L165" s="281"/>
      <x:c r="M165" s="281"/>
      <x:c r="N165" s="281"/>
      <x:c r="O165" s="281"/>
      <x:c r="P165" s="281"/>
      <x:c r="Q165" s="281"/>
      <x:c r="R165" s="281"/>
      <x:c r="S165" s="281"/>
      <x:c r="T165" s="281"/>
      <x:c r="U165" s="281"/>
      <x:c r="V165" s="281"/>
      <x:c r="W165" s="281"/>
      <x:c r="X165" s="281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281"/>
      <x:c r="B166" s="281"/>
      <x:c r="C166" s="281"/>
      <x:c r="D166" s="281"/>
      <x:c r="E166" s="281"/>
      <x:c r="F166" s="281"/>
      <x:c r="G166" s="281"/>
      <x:c r="H166" s="281"/>
      <x:c r="I166" s="281"/>
      <x:c r="J166" s="281"/>
      <x:c r="K166" s="281"/>
      <x:c r="L166" s="281"/>
      <x:c r="M166" s="281"/>
      <x:c r="N166" s="281"/>
      <x:c r="O166" s="281"/>
      <x:c r="P166" s="281"/>
      <x:c r="Q166" s="281"/>
      <x:c r="R166" s="281"/>
      <x:c r="S166" s="281"/>
      <x:c r="T166" s="281"/>
      <x:c r="U166" s="281"/>
      <x:c r="V166" s="281"/>
      <x:c r="W166" s="281"/>
      <x:c r="X166" s="281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281"/>
      <x:c r="B167" s="281"/>
      <x:c r="C167" s="281"/>
      <x:c r="D167" s="281"/>
      <x:c r="E167" s="281"/>
      <x:c r="F167" s="281"/>
      <x:c r="G167" s="281"/>
      <x:c r="H167" s="281"/>
      <x:c r="I167" s="281"/>
      <x:c r="J167" s="281"/>
      <x:c r="K167" s="281"/>
      <x:c r="L167" s="281"/>
      <x:c r="M167" s="281"/>
      <x:c r="N167" s="281"/>
      <x:c r="O167" s="281"/>
      <x:c r="P167" s="281"/>
      <x:c r="Q167" s="281"/>
      <x:c r="R167" s="281"/>
      <x:c r="S167" s="281"/>
      <x:c r="T167" s="281"/>
      <x:c r="U167" s="281"/>
      <x:c r="V167" s="281"/>
      <x:c r="W167" s="281"/>
      <x:c r="X167" s="281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281"/>
      <x:c r="B168" s="281"/>
      <x:c r="C168" s="281"/>
      <x:c r="D168" s="281"/>
      <x:c r="E168" s="281"/>
      <x:c r="F168" s="281"/>
      <x:c r="G168" s="281"/>
      <x:c r="H168" s="281"/>
      <x:c r="I168" s="281"/>
      <x:c r="J168" s="281"/>
      <x:c r="K168" s="281"/>
      <x:c r="L168" s="281"/>
      <x:c r="M168" s="281"/>
      <x:c r="N168" s="281"/>
      <x:c r="O168" s="281"/>
      <x:c r="P168" s="281"/>
      <x:c r="Q168" s="281"/>
      <x:c r="R168" s="281"/>
      <x:c r="S168" s="281"/>
      <x:c r="T168" s="281"/>
      <x:c r="U168" s="281"/>
      <x:c r="V168" s="281"/>
      <x:c r="W168" s="281"/>
      <x:c r="X168" s="281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281"/>
      <x:c r="B169" s="281"/>
      <x:c r="C169" s="281"/>
      <x:c r="D169" s="281"/>
      <x:c r="E169" s="281"/>
      <x:c r="F169" s="281"/>
      <x:c r="G169" s="281"/>
      <x:c r="H169" s="281"/>
      <x:c r="I169" s="281"/>
      <x:c r="J169" s="281"/>
      <x:c r="K169" s="281"/>
      <x:c r="L169" s="281"/>
      <x:c r="M169" s="281"/>
      <x:c r="N169" s="281"/>
      <x:c r="O169" s="281"/>
      <x:c r="P169" s="281"/>
      <x:c r="Q169" s="281"/>
      <x:c r="R169" s="281"/>
      <x:c r="S169" s="281"/>
      <x:c r="T169" s="281"/>
      <x:c r="U169" s="281"/>
      <x:c r="V169" s="281"/>
      <x:c r="W169" s="281"/>
      <x:c r="X169" s="281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281"/>
      <x:c r="B170" s="281"/>
      <x:c r="C170" s="281"/>
      <x:c r="D170" s="281"/>
      <x:c r="E170" s="281"/>
      <x:c r="F170" s="281"/>
      <x:c r="G170" s="281"/>
      <x:c r="H170" s="281"/>
      <x:c r="I170" s="281"/>
      <x:c r="J170" s="281"/>
      <x:c r="K170" s="281"/>
      <x:c r="L170" s="281"/>
      <x:c r="M170" s="281"/>
      <x:c r="N170" s="281"/>
      <x:c r="O170" s="281"/>
      <x:c r="P170" s="281"/>
      <x:c r="Q170" s="281"/>
      <x:c r="R170" s="281"/>
      <x:c r="S170" s="281"/>
      <x:c r="T170" s="281"/>
      <x:c r="U170" s="281"/>
      <x:c r="V170" s="281"/>
      <x:c r="W170" s="281"/>
      <x:c r="X170" s="281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281"/>
      <x:c r="B171" s="281"/>
      <x:c r="C171" s="281"/>
      <x:c r="D171" s="281"/>
      <x:c r="E171" s="281"/>
      <x:c r="F171" s="281"/>
      <x:c r="G171" s="281"/>
      <x:c r="H171" s="281"/>
      <x:c r="I171" s="281"/>
      <x:c r="J171" s="281"/>
      <x:c r="K171" s="281"/>
      <x:c r="L171" s="281"/>
      <x:c r="M171" s="281"/>
      <x:c r="N171" s="281"/>
      <x:c r="O171" s="281"/>
      <x:c r="P171" s="281"/>
      <x:c r="Q171" s="281"/>
      <x:c r="R171" s="281"/>
      <x:c r="S171" s="281"/>
      <x:c r="T171" s="281"/>
      <x:c r="U171" s="281"/>
      <x:c r="V171" s="281"/>
      <x:c r="W171" s="281"/>
      <x:c r="X171" s="281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281"/>
      <x:c r="B172" s="281"/>
      <x:c r="C172" s="281"/>
      <x:c r="D172" s="281"/>
      <x:c r="E172" s="281"/>
      <x:c r="F172" s="281"/>
      <x:c r="G172" s="281"/>
      <x:c r="H172" s="281"/>
      <x:c r="I172" s="281"/>
      <x:c r="J172" s="281"/>
      <x:c r="K172" s="281"/>
      <x:c r="L172" s="281"/>
      <x:c r="M172" s="281"/>
      <x:c r="N172" s="281"/>
      <x:c r="O172" s="281"/>
      <x:c r="P172" s="281"/>
      <x:c r="Q172" s="281"/>
      <x:c r="R172" s="281"/>
      <x:c r="S172" s="281"/>
      <x:c r="T172" s="281"/>
      <x:c r="U172" s="281"/>
      <x:c r="V172" s="281"/>
      <x:c r="W172" s="281"/>
      <x:c r="X172" s="281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281"/>
      <x:c r="B173" s="281"/>
      <x:c r="C173" s="281"/>
      <x:c r="D173" s="281"/>
      <x:c r="E173" s="281"/>
      <x:c r="F173" s="281"/>
      <x:c r="G173" s="281"/>
      <x:c r="H173" s="281"/>
      <x:c r="I173" s="281"/>
      <x:c r="J173" s="281"/>
      <x:c r="K173" s="281"/>
      <x:c r="L173" s="281"/>
      <x:c r="M173" s="281"/>
      <x:c r="N173" s="281"/>
      <x:c r="O173" s="281"/>
      <x:c r="P173" s="281"/>
      <x:c r="Q173" s="281"/>
      <x:c r="R173" s="281"/>
      <x:c r="S173" s="281"/>
      <x:c r="T173" s="281"/>
      <x:c r="U173" s="281"/>
      <x:c r="V173" s="281"/>
      <x:c r="W173" s="281"/>
      <x:c r="X173" s="281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281"/>
      <x:c r="B174" s="281"/>
      <x:c r="C174" s="281"/>
      <x:c r="D174" s="281"/>
      <x:c r="E174" s="281"/>
      <x:c r="F174" s="281"/>
      <x:c r="G174" s="281"/>
      <x:c r="H174" s="281"/>
      <x:c r="I174" s="281"/>
      <x:c r="J174" s="281"/>
      <x:c r="K174" s="281"/>
      <x:c r="L174" s="281"/>
      <x:c r="M174" s="281"/>
      <x:c r="N174" s="281"/>
      <x:c r="O174" s="281"/>
      <x:c r="P174" s="281"/>
      <x:c r="Q174" s="281"/>
      <x:c r="R174" s="281"/>
      <x:c r="S174" s="281"/>
      <x:c r="T174" s="281"/>
      <x:c r="U174" s="281"/>
      <x:c r="V174" s="281"/>
      <x:c r="W174" s="281"/>
      <x:c r="X174" s="281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281"/>
      <x:c r="B175" s="281"/>
      <x:c r="C175" s="281"/>
      <x:c r="D175" s="281"/>
      <x:c r="E175" s="281"/>
      <x:c r="F175" s="281"/>
      <x:c r="G175" s="281"/>
      <x:c r="H175" s="281"/>
      <x:c r="I175" s="281"/>
      <x:c r="J175" s="281"/>
      <x:c r="K175" s="281"/>
      <x:c r="L175" s="281"/>
      <x:c r="M175" s="281"/>
      <x:c r="N175" s="281"/>
      <x:c r="O175" s="281"/>
      <x:c r="P175" s="281"/>
      <x:c r="Q175" s="281"/>
      <x:c r="R175" s="281"/>
      <x:c r="S175" s="281"/>
      <x:c r="T175" s="281"/>
      <x:c r="U175" s="281"/>
      <x:c r="V175" s="281"/>
      <x:c r="W175" s="281"/>
      <x:c r="X175" s="281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281"/>
      <x:c r="B176" s="281"/>
      <x:c r="C176" s="281"/>
      <x:c r="D176" s="281"/>
      <x:c r="E176" s="281"/>
      <x:c r="F176" s="281"/>
      <x:c r="G176" s="281"/>
      <x:c r="H176" s="281"/>
      <x:c r="I176" s="281"/>
      <x:c r="J176" s="281"/>
      <x:c r="K176" s="281"/>
      <x:c r="L176" s="281"/>
      <x:c r="M176" s="281"/>
      <x:c r="N176" s="281"/>
      <x:c r="O176" s="281"/>
      <x:c r="P176" s="281"/>
      <x:c r="Q176" s="281"/>
      <x:c r="R176" s="281"/>
      <x:c r="S176" s="281"/>
      <x:c r="T176" s="281"/>
      <x:c r="U176" s="281"/>
      <x:c r="V176" s="281"/>
      <x:c r="W176" s="281"/>
      <x:c r="X176" s="281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281"/>
      <x:c r="B177" s="281"/>
      <x:c r="C177" s="281"/>
      <x:c r="D177" s="281"/>
      <x:c r="E177" s="281"/>
      <x:c r="F177" s="281"/>
      <x:c r="G177" s="281"/>
      <x:c r="H177" s="281"/>
      <x:c r="I177" s="281"/>
      <x:c r="J177" s="281"/>
      <x:c r="K177" s="281"/>
      <x:c r="L177" s="281"/>
      <x:c r="M177" s="281"/>
      <x:c r="N177" s="281"/>
      <x:c r="O177" s="281"/>
      <x:c r="P177" s="281"/>
      <x:c r="Q177" s="281"/>
      <x:c r="R177" s="281"/>
      <x:c r="S177" s="281"/>
      <x:c r="T177" s="281"/>
      <x:c r="U177" s="281"/>
      <x:c r="V177" s="281"/>
      <x:c r="W177" s="281"/>
      <x:c r="X177" s="281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281"/>
      <x:c r="B178" s="281"/>
      <x:c r="C178" s="281"/>
      <x:c r="D178" s="281"/>
      <x:c r="E178" s="281"/>
      <x:c r="F178" s="281"/>
      <x:c r="G178" s="281"/>
      <x:c r="H178" s="281"/>
      <x:c r="I178" s="281"/>
      <x:c r="J178" s="281"/>
      <x:c r="K178" s="281"/>
      <x:c r="L178" s="281"/>
      <x:c r="M178" s="281"/>
      <x:c r="N178" s="281"/>
      <x:c r="O178" s="281"/>
      <x:c r="P178" s="281"/>
      <x:c r="Q178" s="281"/>
      <x:c r="R178" s="281"/>
      <x:c r="S178" s="281"/>
      <x:c r="T178" s="281"/>
      <x:c r="U178" s="281"/>
      <x:c r="V178" s="281"/>
      <x:c r="W178" s="281"/>
      <x:c r="X178" s="281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281"/>
      <x:c r="B179" s="281"/>
      <x:c r="C179" s="281"/>
      <x:c r="D179" s="281"/>
      <x:c r="E179" s="281"/>
      <x:c r="F179" s="281"/>
      <x:c r="G179" s="281"/>
      <x:c r="H179" s="281"/>
      <x:c r="I179" s="281"/>
      <x:c r="J179" s="281"/>
      <x:c r="K179" s="281"/>
      <x:c r="L179" s="281"/>
      <x:c r="M179" s="281"/>
      <x:c r="N179" s="281"/>
      <x:c r="O179" s="281"/>
      <x:c r="P179" s="281"/>
      <x:c r="Q179" s="281"/>
      <x:c r="R179" s="281"/>
      <x:c r="S179" s="281"/>
      <x:c r="T179" s="281"/>
      <x:c r="U179" s="281"/>
      <x:c r="V179" s="281"/>
      <x:c r="W179" s="281"/>
      <x:c r="X179" s="281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281"/>
      <x:c r="B180" s="281"/>
      <x:c r="C180" s="281"/>
      <x:c r="D180" s="281"/>
      <x:c r="E180" s="281"/>
      <x:c r="F180" s="281"/>
      <x:c r="G180" s="281"/>
      <x:c r="H180" s="281"/>
      <x:c r="I180" s="281"/>
      <x:c r="J180" s="281"/>
      <x:c r="K180" s="281"/>
      <x:c r="L180" s="281"/>
      <x:c r="M180" s="281"/>
      <x:c r="N180" s="281"/>
      <x:c r="O180" s="281"/>
      <x:c r="P180" s="281"/>
      <x:c r="Q180" s="281"/>
      <x:c r="R180" s="281"/>
      <x:c r="S180" s="281"/>
      <x:c r="T180" s="281"/>
      <x:c r="U180" s="281"/>
      <x:c r="V180" s="281"/>
      <x:c r="W180" s="281"/>
      <x:c r="X180" s="281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281"/>
      <x:c r="B181" s="281"/>
      <x:c r="C181" s="281"/>
      <x:c r="D181" s="281"/>
      <x:c r="E181" s="281"/>
      <x:c r="F181" s="281"/>
      <x:c r="G181" s="281"/>
      <x:c r="H181" s="281"/>
      <x:c r="I181" s="281"/>
      <x:c r="J181" s="281"/>
      <x:c r="K181" s="281"/>
      <x:c r="L181" s="281"/>
      <x:c r="M181" s="281"/>
      <x:c r="N181" s="281"/>
      <x:c r="O181" s="281"/>
      <x:c r="P181" s="281"/>
      <x:c r="Q181" s="281"/>
      <x:c r="R181" s="281"/>
      <x:c r="S181" s="281"/>
      <x:c r="T181" s="281"/>
      <x:c r="U181" s="281"/>
      <x:c r="V181" s="281"/>
      <x:c r="W181" s="281"/>
      <x:c r="X181" s="281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281"/>
      <x:c r="B182" s="281"/>
      <x:c r="C182" s="281"/>
      <x:c r="D182" s="281"/>
      <x:c r="E182" s="281"/>
      <x:c r="F182" s="281"/>
      <x:c r="G182" s="281"/>
      <x:c r="H182" s="281"/>
      <x:c r="I182" s="281"/>
      <x:c r="J182" s="281"/>
      <x:c r="K182" s="281"/>
      <x:c r="L182" s="281"/>
      <x:c r="M182" s="281"/>
      <x:c r="N182" s="281"/>
      <x:c r="O182" s="281"/>
      <x:c r="P182" s="281"/>
      <x:c r="Q182" s="281"/>
      <x:c r="R182" s="281"/>
      <x:c r="S182" s="281"/>
      <x:c r="T182" s="281"/>
      <x:c r="U182" s="281"/>
      <x:c r="V182" s="281"/>
      <x:c r="W182" s="281"/>
      <x:c r="X182" s="281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281"/>
      <x:c r="B183" s="281"/>
      <x:c r="C183" s="281"/>
      <x:c r="D183" s="281"/>
      <x:c r="E183" s="281"/>
      <x:c r="F183" s="281"/>
      <x:c r="G183" s="281"/>
      <x:c r="H183" s="281"/>
      <x:c r="I183" s="281"/>
      <x:c r="J183" s="281"/>
      <x:c r="K183" s="281"/>
      <x:c r="L183" s="281"/>
      <x:c r="M183" s="281"/>
      <x:c r="N183" s="281"/>
      <x:c r="O183" s="281"/>
      <x:c r="P183" s="281"/>
      <x:c r="Q183" s="281"/>
      <x:c r="R183" s="281"/>
      <x:c r="S183" s="281"/>
      <x:c r="T183" s="281"/>
      <x:c r="U183" s="281"/>
      <x:c r="V183" s="281"/>
      <x:c r="W183" s="281"/>
      <x:c r="X183" s="281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281"/>
      <x:c r="B184" s="281"/>
      <x:c r="C184" s="281"/>
      <x:c r="D184" s="281"/>
      <x:c r="E184" s="281"/>
      <x:c r="F184" s="281"/>
      <x:c r="G184" s="281"/>
      <x:c r="H184" s="281"/>
      <x:c r="I184" s="281"/>
      <x:c r="J184" s="281"/>
      <x:c r="K184" s="281"/>
      <x:c r="L184" s="281"/>
      <x:c r="M184" s="281"/>
      <x:c r="N184" s="281"/>
      <x:c r="O184" s="281"/>
      <x:c r="P184" s="281"/>
      <x:c r="Q184" s="281"/>
      <x:c r="R184" s="281"/>
      <x:c r="S184" s="281"/>
      <x:c r="T184" s="281"/>
      <x:c r="U184" s="281"/>
      <x:c r="V184" s="281"/>
      <x:c r="W184" s="281"/>
      <x:c r="X184" s="281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281"/>
      <x:c r="B185" s="281"/>
      <x:c r="C185" s="281"/>
      <x:c r="D185" s="281"/>
      <x:c r="E185" s="281"/>
      <x:c r="F185" s="281"/>
      <x:c r="G185" s="281"/>
      <x:c r="H185" s="281"/>
      <x:c r="I185" s="281"/>
      <x:c r="J185" s="281"/>
      <x:c r="K185" s="281"/>
      <x:c r="L185" s="281"/>
      <x:c r="M185" s="281"/>
      <x:c r="N185" s="281"/>
      <x:c r="O185" s="281"/>
      <x:c r="P185" s="281"/>
      <x:c r="Q185" s="281"/>
      <x:c r="R185" s="281"/>
      <x:c r="S185" s="281"/>
      <x:c r="T185" s="281"/>
      <x:c r="U185" s="281"/>
      <x:c r="V185" s="281"/>
      <x:c r="W185" s="281"/>
      <x:c r="X185" s="281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281"/>
      <x:c r="B186" s="281"/>
      <x:c r="C186" s="281"/>
      <x:c r="D186" s="281"/>
      <x:c r="E186" s="281"/>
      <x:c r="F186" s="281"/>
      <x:c r="G186" s="281"/>
      <x:c r="H186" s="281"/>
      <x:c r="I186" s="281"/>
      <x:c r="J186" s="281"/>
      <x:c r="K186" s="281"/>
      <x:c r="L186" s="281"/>
      <x:c r="M186" s="281"/>
      <x:c r="N186" s="281"/>
      <x:c r="O186" s="281"/>
      <x:c r="P186" s="281"/>
      <x:c r="Q186" s="281"/>
      <x:c r="R186" s="281"/>
      <x:c r="S186" s="281"/>
      <x:c r="T186" s="281"/>
      <x:c r="U186" s="281"/>
      <x:c r="V186" s="281"/>
      <x:c r="W186" s="281"/>
      <x:c r="X186" s="281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281"/>
      <x:c r="B187" s="281"/>
      <x:c r="C187" s="281"/>
      <x:c r="D187" s="281"/>
      <x:c r="E187" s="281"/>
      <x:c r="F187" s="281"/>
      <x:c r="G187" s="281"/>
      <x:c r="H187" s="281"/>
      <x:c r="I187" s="281"/>
      <x:c r="J187" s="281"/>
      <x:c r="K187" s="281"/>
      <x:c r="L187" s="281"/>
      <x:c r="M187" s="281"/>
      <x:c r="N187" s="281"/>
      <x:c r="O187" s="281"/>
      <x:c r="P187" s="281"/>
      <x:c r="Q187" s="281"/>
      <x:c r="R187" s="281"/>
      <x:c r="S187" s="281"/>
      <x:c r="T187" s="281"/>
      <x:c r="U187" s="281"/>
      <x:c r="V187" s="281"/>
      <x:c r="W187" s="281"/>
      <x:c r="X187" s="281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281"/>
      <x:c r="B188" s="281"/>
      <x:c r="C188" s="281"/>
      <x:c r="D188" s="281"/>
      <x:c r="E188" s="281"/>
      <x:c r="F188" s="281"/>
      <x:c r="G188" s="281"/>
      <x:c r="H188" s="281"/>
      <x:c r="I188" s="281"/>
      <x:c r="J188" s="281"/>
      <x:c r="K188" s="281"/>
      <x:c r="L188" s="281"/>
      <x:c r="M188" s="281"/>
      <x:c r="N188" s="281"/>
      <x:c r="O188" s="281"/>
      <x:c r="P188" s="281"/>
      <x:c r="Q188" s="281"/>
      <x:c r="R188" s="281"/>
      <x:c r="S188" s="281"/>
      <x:c r="T188" s="281"/>
      <x:c r="U188" s="281"/>
      <x:c r="V188" s="281"/>
      <x:c r="W188" s="281"/>
      <x:c r="X188" s="281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281"/>
      <x:c r="B189" s="281"/>
      <x:c r="C189" s="281"/>
      <x:c r="D189" s="281"/>
      <x:c r="E189" s="281"/>
      <x:c r="F189" s="281"/>
      <x:c r="G189" s="281"/>
      <x:c r="H189" s="281"/>
      <x:c r="I189" s="281"/>
      <x:c r="J189" s="281"/>
      <x:c r="K189" s="281"/>
      <x:c r="L189" s="281"/>
      <x:c r="M189" s="281"/>
      <x:c r="N189" s="281"/>
      <x:c r="O189" s="281"/>
      <x:c r="P189" s="281"/>
      <x:c r="Q189" s="281"/>
      <x:c r="R189" s="281"/>
      <x:c r="S189" s="281"/>
      <x:c r="T189" s="281"/>
      <x:c r="U189" s="281"/>
      <x:c r="V189" s="281"/>
      <x:c r="W189" s="281"/>
      <x:c r="X189" s="281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281"/>
      <x:c r="B190" s="281"/>
      <x:c r="C190" s="281"/>
      <x:c r="D190" s="281"/>
      <x:c r="E190" s="281"/>
      <x:c r="F190" s="281"/>
      <x:c r="G190" s="281"/>
      <x:c r="H190" s="281"/>
      <x:c r="I190" s="281"/>
      <x:c r="J190" s="281"/>
      <x:c r="K190" s="281"/>
      <x:c r="L190" s="281"/>
      <x:c r="M190" s="281"/>
      <x:c r="N190" s="281"/>
      <x:c r="O190" s="281"/>
      <x:c r="P190" s="281"/>
      <x:c r="Q190" s="281"/>
      <x:c r="R190" s="281"/>
      <x:c r="S190" s="281"/>
      <x:c r="T190" s="281"/>
      <x:c r="U190" s="281"/>
      <x:c r="V190" s="281"/>
      <x:c r="W190" s="281"/>
      <x:c r="X190" s="281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281"/>
      <x:c r="B191" s="281"/>
      <x:c r="C191" s="281"/>
      <x:c r="D191" s="281"/>
      <x:c r="E191" s="281"/>
      <x:c r="F191" s="281"/>
      <x:c r="G191" s="281"/>
      <x:c r="H191" s="281"/>
      <x:c r="I191" s="281"/>
      <x:c r="J191" s="281"/>
      <x:c r="K191" s="281"/>
      <x:c r="L191" s="281"/>
      <x:c r="M191" s="281"/>
      <x:c r="N191" s="281"/>
      <x:c r="O191" s="281"/>
      <x:c r="P191" s="281"/>
      <x:c r="Q191" s="281"/>
      <x:c r="R191" s="281"/>
      <x:c r="S191" s="281"/>
      <x:c r="T191" s="281"/>
      <x:c r="U191" s="281"/>
      <x:c r="V191" s="281"/>
      <x:c r="W191" s="281"/>
      <x:c r="X191" s="281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281"/>
      <x:c r="B192" s="281"/>
      <x:c r="C192" s="281"/>
      <x:c r="D192" s="281"/>
      <x:c r="E192" s="281"/>
      <x:c r="F192" s="281"/>
      <x:c r="G192" s="281"/>
      <x:c r="H192" s="281"/>
      <x:c r="I192" s="281"/>
      <x:c r="J192" s="281"/>
      <x:c r="K192" s="281"/>
      <x:c r="L192" s="281"/>
      <x:c r="M192" s="281"/>
      <x:c r="N192" s="281"/>
      <x:c r="O192" s="281"/>
      <x:c r="P192" s="281"/>
      <x:c r="Q192" s="281"/>
      <x:c r="R192" s="281"/>
      <x:c r="S192" s="281"/>
      <x:c r="T192" s="281"/>
      <x:c r="U192" s="281"/>
      <x:c r="V192" s="281"/>
      <x:c r="W192" s="281"/>
      <x:c r="X192" s="281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281"/>
      <x:c r="B193" s="281"/>
      <x:c r="C193" s="281"/>
      <x:c r="D193" s="281"/>
      <x:c r="E193" s="281"/>
      <x:c r="F193" s="281"/>
      <x:c r="G193" s="281"/>
      <x:c r="H193" s="281"/>
      <x:c r="I193" s="281"/>
      <x:c r="J193" s="281"/>
      <x:c r="K193" s="281"/>
      <x:c r="L193" s="281"/>
      <x:c r="M193" s="281"/>
      <x:c r="N193" s="281"/>
      <x:c r="O193" s="281"/>
      <x:c r="P193" s="281"/>
      <x:c r="Q193" s="281"/>
      <x:c r="R193" s="281"/>
      <x:c r="S193" s="281"/>
      <x:c r="T193" s="281"/>
      <x:c r="U193" s="281"/>
      <x:c r="V193" s="281"/>
      <x:c r="W193" s="281"/>
      <x:c r="X193" s="281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281"/>
      <x:c r="B194" s="281"/>
      <x:c r="C194" s="281"/>
      <x:c r="D194" s="281"/>
      <x:c r="E194" s="281"/>
      <x:c r="F194" s="281"/>
      <x:c r="G194" s="281"/>
      <x:c r="H194" s="281"/>
      <x:c r="I194" s="281"/>
      <x:c r="J194" s="281"/>
      <x:c r="K194" s="281"/>
      <x:c r="L194" s="281"/>
      <x:c r="M194" s="281"/>
      <x:c r="N194" s="281"/>
      <x:c r="O194" s="281"/>
      <x:c r="P194" s="281"/>
      <x:c r="Q194" s="281"/>
      <x:c r="R194" s="281"/>
      <x:c r="S194" s="281"/>
      <x:c r="T194" s="281"/>
      <x:c r="U194" s="281"/>
      <x:c r="V194" s="281"/>
      <x:c r="W194" s="281"/>
      <x:c r="X194" s="281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281"/>
      <x:c r="B195" s="281"/>
      <x:c r="C195" s="281"/>
      <x:c r="D195" s="281"/>
      <x:c r="E195" s="281"/>
      <x:c r="F195" s="281"/>
      <x:c r="G195" s="281"/>
      <x:c r="H195" s="281"/>
      <x:c r="I195" s="281"/>
      <x:c r="J195" s="281"/>
      <x:c r="K195" s="281"/>
      <x:c r="L195" s="281"/>
      <x:c r="M195" s="281"/>
      <x:c r="N195" s="281"/>
      <x:c r="O195" s="281"/>
      <x:c r="P195" s="281"/>
      <x:c r="Q195" s="281"/>
      <x:c r="R195" s="281"/>
      <x:c r="S195" s="281"/>
      <x:c r="T195" s="281"/>
      <x:c r="U195" s="281"/>
      <x:c r="V195" s="281"/>
      <x:c r="W195" s="281"/>
      <x:c r="X195" s="281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281"/>
      <x:c r="B196" s="281"/>
      <x:c r="C196" s="281"/>
      <x:c r="D196" s="281"/>
      <x:c r="E196" s="281"/>
      <x:c r="F196" s="281"/>
      <x:c r="G196" s="281"/>
      <x:c r="H196" s="281"/>
      <x:c r="I196" s="281"/>
      <x:c r="J196" s="281"/>
      <x:c r="K196" s="281"/>
      <x:c r="L196" s="281"/>
      <x:c r="M196" s="281"/>
      <x:c r="N196" s="281"/>
      <x:c r="O196" s="281"/>
      <x:c r="P196" s="281"/>
      <x:c r="Q196" s="281"/>
      <x:c r="R196" s="281"/>
      <x:c r="S196" s="281"/>
      <x:c r="T196" s="281"/>
      <x:c r="U196" s="281"/>
      <x:c r="V196" s="281"/>
      <x:c r="W196" s="281"/>
      <x:c r="X196" s="281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281"/>
      <x:c r="B197" s="281"/>
      <x:c r="C197" s="281"/>
      <x:c r="D197" s="281"/>
      <x:c r="E197" s="281"/>
      <x:c r="F197" s="281"/>
      <x:c r="G197" s="281"/>
      <x:c r="H197" s="281"/>
      <x:c r="I197" s="281"/>
      <x:c r="J197" s="281"/>
      <x:c r="K197" s="281"/>
      <x:c r="L197" s="281"/>
      <x:c r="M197" s="281"/>
      <x:c r="N197" s="281"/>
      <x:c r="O197" s="281"/>
      <x:c r="P197" s="281"/>
      <x:c r="Q197" s="281"/>
      <x:c r="R197" s="281"/>
      <x:c r="S197" s="281"/>
      <x:c r="T197" s="281"/>
      <x:c r="U197" s="281"/>
      <x:c r="V197" s="281"/>
      <x:c r="W197" s="281"/>
      <x:c r="X197" s="281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281"/>
      <x:c r="B198" s="281"/>
      <x:c r="C198" s="281"/>
      <x:c r="D198" s="281"/>
      <x:c r="E198" s="281"/>
      <x:c r="F198" s="281"/>
      <x:c r="G198" s="281"/>
      <x:c r="H198" s="281"/>
      <x:c r="I198" s="281"/>
      <x:c r="J198" s="281"/>
      <x:c r="K198" s="281"/>
      <x:c r="L198" s="281"/>
      <x:c r="M198" s="281"/>
      <x:c r="N198" s="281"/>
      <x:c r="O198" s="281"/>
      <x:c r="P198" s="281"/>
      <x:c r="Q198" s="281"/>
      <x:c r="R198" s="281"/>
      <x:c r="S198" s="281"/>
      <x:c r="T198" s="281"/>
      <x:c r="U198" s="281"/>
      <x:c r="V198" s="281"/>
      <x:c r="W198" s="281"/>
      <x:c r="X198" s="281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281"/>
      <x:c r="B199" s="281"/>
      <x:c r="C199" s="281"/>
      <x:c r="D199" s="281"/>
      <x:c r="E199" s="281"/>
      <x:c r="F199" s="281"/>
      <x:c r="G199" s="281"/>
      <x:c r="H199" s="281"/>
      <x:c r="I199" s="281"/>
      <x:c r="J199" s="281"/>
      <x:c r="K199" s="281"/>
      <x:c r="L199" s="281"/>
      <x:c r="M199" s="281"/>
      <x:c r="N199" s="281"/>
      <x:c r="O199" s="281"/>
      <x:c r="P199" s="281"/>
      <x:c r="Q199" s="281"/>
      <x:c r="R199" s="281"/>
      <x:c r="S199" s="281"/>
      <x:c r="T199" s="281"/>
      <x:c r="U199" s="281"/>
      <x:c r="V199" s="281"/>
      <x:c r="W199" s="281"/>
      <x:c r="X199" s="281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281"/>
      <x:c r="B200" s="281"/>
      <x:c r="C200" s="281"/>
      <x:c r="D200" s="281"/>
      <x:c r="E200" s="281"/>
      <x:c r="F200" s="281"/>
      <x:c r="G200" s="281"/>
      <x:c r="H200" s="281"/>
      <x:c r="I200" s="281"/>
      <x:c r="J200" s="281"/>
      <x:c r="K200" s="281"/>
      <x:c r="L200" s="281"/>
      <x:c r="M200" s="281"/>
      <x:c r="N200" s="281"/>
      <x:c r="O200" s="281"/>
      <x:c r="P200" s="281"/>
      <x:c r="Q200" s="281"/>
      <x:c r="R200" s="281"/>
      <x:c r="S200" s="281"/>
      <x:c r="T200" s="281"/>
      <x:c r="U200" s="281"/>
      <x:c r="V200" s="281"/>
      <x:c r="W200" s="281"/>
      <x:c r="X200" s="281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439" t="str">
        <x:v>Gift Story — Status Lists</x:v>
      </x:c>
      <x:c r="B1" s="439" t="str">
        <x:v>Box Status</x:v>
      </x:c>
      <x:c r="C1" s="439" t="str">
        <x:v>Category</x:v>
      </x:c>
      <x:c r="D1" s="439" t="str">
        <x:v>Channel</x:v>
      </x:c>
      <x:c r="E1" s="439" t="str">
        <x:v>Movement Action</x:v>
      </x:c>
      <x:c r="F1" s="439" t="str">
        <x:v>Request Status</x:v>
      </x:c>
      <x:c r="G1" s="439" t="str">
        <x:v>Payment Status</x:v>
      </x:c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  <x:c r="AI1" s="281"/>
      <x:c r="AJ1" s="281"/>
      <x:c r="AK1" s="281"/>
      <x:c r="AL1" s="281"/>
      <x:c r="AM1" s="281"/>
      <x:c r="AN1" s="281"/>
    </x:row>
    <x:row r="2" ht="30" customHeight="1">
      <x:c r="A2" s="414" t="str">
        <x:v>Dropdown values used across workbook</x:v>
      </x:c>
      <x:c r="B2" s="409" t="str">
        <x:v>Draft</x:v>
      </x:c>
      <x:c r="C2" s="409" t="str">
        <x:v>Little Stories</x:v>
      </x:c>
      <x:c r="D2" s="409" t="str">
        <x:v>Salla/Zid</x:v>
      </x:c>
      <x:c r="E2" s="409" t="str">
        <x:v>Added</x:v>
      </x:c>
      <x:c r="F2" s="409" t="str">
        <x:v>New</x:v>
      </x:c>
      <x:c r="G2" s="409" t="str">
        <x:v>Not Sent</x:v>
      </x:c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  <x:c r="AI2" s="281"/>
      <x:c r="AJ2" s="281"/>
      <x:c r="AK2" s="281"/>
      <x:c r="AL2" s="281"/>
      <x:c r="AM2" s="281"/>
      <x:c r="AN2" s="281"/>
    </x:row>
    <x:row r="3">
      <x:c r="A3" s="409" t="str">
        <x:v>Reserved</x:v>
      </x:c>
      <x:c r="B3" s="409" t="str">
        <x:v>Costed</x:v>
      </x:c>
      <x:c r="C3" s="409" t="str">
        <x:v>Care Stories</x:v>
      </x:c>
      <x:c r="D3" s="409" t="str">
        <x:v>HungerStation</x:v>
      </x:c>
      <x:c r="E3" s="409" t="str">
        <x:v>Reserved</x:v>
      </x:c>
      <x:c r="F3" s="409" t="str">
        <x:v>Reviewing</x:v>
      </x:c>
      <x:c r="G3" s="409" t="str">
        <x:v>Payment Link Sent</x:v>
      </x:c>
      <x:c r="H3" s="281"/>
      <x:c r="I3" s="281"/>
      <x:c r="J3" s="281"/>
      <x:c r="K3" s="281"/>
      <x:c r="L3" s="281"/>
      <x:c r="M3" s="281"/>
      <x:c r="N3" s="281"/>
      <x:c r="O3" s="281"/>
      <x:c r="P3" s="281"/>
      <x:c r="Q3" s="281"/>
      <x:c r="R3" s="281"/>
      <x:c r="S3" s="281"/>
      <x:c r="T3" s="281"/>
      <x:c r="U3" s="281"/>
      <x:c r="V3" s="281"/>
      <x:c r="W3" s="281"/>
      <x:c r="X3" s="281"/>
      <x:c r="Y3" s="281"/>
      <x:c r="Z3" s="281"/>
      <x:c r="AA3" s="281"/>
      <x:c r="AB3" s="281"/>
      <x:c r="AC3" s="281"/>
      <x:c r="AD3" s="281"/>
      <x:c r="AE3" s="281"/>
      <x:c r="AF3" s="281"/>
      <x:c r="AG3" s="281"/>
      <x:c r="AH3" s="281"/>
      <x:c r="AI3" s="281"/>
      <x:c r="AJ3" s="281"/>
      <x:c r="AK3" s="281"/>
      <x:c r="AL3" s="281"/>
      <x:c r="AM3" s="281"/>
      <x:c r="AN3" s="281"/>
    </x:row>
    <x:row r="4">
      <x:c r="A4" s="409" t="str">
        <x:v>Used</x:v>
      </x:c>
      <x:c r="B4" s="409" t="str">
        <x:v>Ready for Photo</x:v>
      </x:c>
      <x:c r="C4" s="409" t="str">
        <x:v>Graduation Stories</x:v>
      </x:c>
      <x:c r="D4" s="409" t="str">
        <x:v>ToYou</x:v>
      </x:c>
      <x:c r="E4" s="409" t="str">
        <x:v>Used</x:v>
      </x:c>
      <x:c r="F4" s="409" t="str">
        <x:v>Quoted</x:v>
      </x:c>
      <x:c r="G4" s="409" t="str">
        <x:v>Paid</x:v>
      </x:c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  <x:c r="T4" s="281"/>
      <x:c r="U4" s="281"/>
      <x:c r="V4" s="281"/>
      <x:c r="W4" s="281"/>
      <x:c r="X4" s="281"/>
      <x:c r="Y4" s="281"/>
      <x:c r="Z4" s="281"/>
      <x:c r="AA4" s="281"/>
      <x:c r="AB4" s="281"/>
      <x:c r="AC4" s="281"/>
      <x:c r="AD4" s="281"/>
      <x:c r="AE4" s="281"/>
      <x:c r="AF4" s="281"/>
      <x:c r="AG4" s="281"/>
      <x:c r="AH4" s="281"/>
      <x:c r="AI4" s="281"/>
      <x:c r="AJ4" s="281"/>
      <x:c r="AK4" s="281"/>
      <x:c r="AL4" s="281"/>
      <x:c r="AM4" s="281"/>
      <x:c r="AN4" s="281"/>
    </x:row>
    <x:row r="5">
      <x:c r="A5" s="409" t="str">
        <x:v>Needs Photo</x:v>
      </x:c>
      <x:c r="B5" s="409" t="str">
        <x:v>Ready to Sell</x:v>
      </x:c>
      <x:c r="C5" s="409" t="str">
        <x:v>Birthday Stories</x:v>
      </x:c>
      <x:c r="D5" s="409" t="str">
        <x:v>The Chefz</x:v>
      </x:c>
      <x:c r="E5" s="409" t="str">
        <x:v>Returned to Stock</x:v>
      </x:c>
      <x:c r="F5" s="409" t="str">
        <x:v>Approved</x:v>
      </x:c>
      <x:c r="G5" s="409" t="str">
        <x:v>Refunded</x:v>
      </x:c>
      <x:c r="H5" s="281"/>
      <x:c r="I5" s="281"/>
      <x:c r="J5" s="281"/>
      <x:c r="K5" s="281"/>
      <x:c r="L5" s="281"/>
      <x:c r="M5" s="281"/>
      <x:c r="N5" s="281"/>
      <x:c r="O5" s="281"/>
      <x:c r="P5" s="281"/>
      <x:c r="Q5" s="281"/>
      <x:c r="R5" s="281"/>
      <x:c r="S5" s="281"/>
      <x:c r="T5" s="281"/>
      <x:c r="U5" s="281"/>
      <x:c r="V5" s="281"/>
      <x:c r="W5" s="281"/>
      <x:c r="X5" s="281"/>
      <x:c r="Y5" s="281"/>
      <x:c r="Z5" s="281"/>
      <x:c r="AA5" s="281"/>
      <x:c r="AB5" s="281"/>
      <x:c r="AC5" s="281"/>
      <x:c r="AD5" s="281"/>
      <x:c r="AE5" s="281"/>
      <x:c r="AF5" s="281"/>
      <x:c r="AG5" s="281"/>
      <x:c r="AH5" s="281"/>
      <x:c r="AI5" s="281"/>
      <x:c r="AJ5" s="281"/>
      <x:c r="AK5" s="281"/>
      <x:c r="AL5" s="281"/>
      <x:c r="AM5" s="281"/>
      <x:c r="AN5" s="281"/>
    </x:row>
    <x:row r="6">
      <x:c r="A6" s="409" t="str">
        <x:v>Needs Cleaning</x:v>
      </x:c>
      <x:c r="B6" s="409" t="str">
        <x:v>Live</x:v>
      </x:c>
      <x:c r="C6" s="409" t="str">
        <x:v>Travel Stories</x:v>
      </x:c>
      <x:c r="D6" s="409" t="str">
        <x:v>Special Request</x:v>
      </x:c>
      <x:c r="E6" s="409" t="str">
        <x:v>Damaged</x:v>
      </x:c>
      <x:c r="F6" s="409" t="str">
        <x:v>Paid</x:v>
      </x:c>
      <x:c r="G6" s="409" t="str">
        <x:v>Cancelled</x:v>
      </x:c>
      <x:c r="H6" s="281"/>
      <x:c r="I6" s="281"/>
      <x:c r="J6" s="281"/>
      <x:c r="K6" s="281"/>
      <x:c r="L6" s="281"/>
      <x:c r="M6" s="281"/>
      <x:c r="N6" s="281"/>
      <x:c r="O6" s="281"/>
      <x:c r="P6" s="281"/>
      <x:c r="Q6" s="281"/>
      <x:c r="R6" s="281"/>
      <x:c r="S6" s="281"/>
      <x:c r="T6" s="281"/>
      <x:c r="U6" s="281"/>
      <x:c r="V6" s="281"/>
      <x:c r="W6" s="281"/>
      <x:c r="X6" s="281"/>
      <x:c r="Y6" s="281"/>
      <x:c r="Z6" s="281"/>
      <x:c r="AA6" s="281"/>
      <x:c r="AB6" s="281"/>
      <x:c r="AC6" s="281"/>
      <x:c r="AD6" s="281"/>
      <x:c r="AE6" s="281"/>
      <x:c r="AF6" s="281"/>
      <x:c r="AG6" s="281"/>
      <x:c r="AH6" s="281"/>
      <x:c r="AI6" s="281"/>
      <x:c r="AJ6" s="281"/>
      <x:c r="AK6" s="281"/>
      <x:c r="AL6" s="281"/>
      <x:c r="AM6" s="281"/>
      <x:c r="AN6" s="281"/>
    </x:row>
    <x:row r="7">
      <x:c r="A7" s="409" t="str">
        <x:v>Needs Review</x:v>
      </x:c>
      <x:c r="B7" s="409" t="str">
        <x:v>Sold Out</x:v>
      </x:c>
      <x:c r="C7" s="409" t="str">
        <x:v>Special Stories</x:v>
      </x:c>
      <x:c r="D7" s="281"/>
      <x:c r="E7" s="409" t="str">
        <x:v>Archived</x:v>
      </x:c>
      <x:c r="F7" s="409" t="str">
        <x:v>Preparing</x:v>
      </x:c>
      <x:c r="G7" s="281"/>
      <x:c r="H7" s="281"/>
      <x:c r="I7" s="281"/>
      <x:c r="J7" s="281"/>
      <x:c r="K7" s="281"/>
      <x:c r="L7" s="281"/>
      <x:c r="M7" s="281"/>
      <x:c r="N7" s="281"/>
      <x:c r="O7" s="281"/>
      <x:c r="P7" s="281"/>
      <x:c r="Q7" s="281"/>
      <x:c r="R7" s="281"/>
      <x:c r="S7" s="281"/>
      <x:c r="T7" s="281"/>
      <x:c r="U7" s="281"/>
      <x:c r="V7" s="281"/>
      <x:c r="W7" s="281"/>
      <x:c r="X7" s="281"/>
      <x:c r="Y7" s="281"/>
      <x:c r="Z7" s="281"/>
      <x:c r="AA7" s="281"/>
      <x:c r="AB7" s="281"/>
      <x:c r="AC7" s="281"/>
      <x:c r="AD7" s="281"/>
      <x:c r="AE7" s="281"/>
      <x:c r="AF7" s="281"/>
      <x:c r="AG7" s="281"/>
      <x:c r="AH7" s="281"/>
      <x:c r="AI7" s="281"/>
      <x:c r="AJ7" s="281"/>
      <x:c r="AK7" s="281"/>
      <x:c r="AL7" s="281"/>
      <x:c r="AM7" s="281"/>
      <x:c r="AN7" s="281"/>
    </x:row>
    <x:row r="8">
      <x:c r="A8" s="409" t="str">
        <x:v>Archived</x:v>
      </x:c>
      <x:c r="B8" s="409" t="str">
        <x:v>Paused</x:v>
      </x:c>
      <x:c r="C8" s="281"/>
      <x:c r="D8" s="281"/>
      <x:c r="E8" s="281"/>
      <x:c r="F8" s="409" t="str">
        <x:v>Delivered</x:v>
      </x:c>
      <x:c r="G8" s="281"/>
      <x:c r="H8" s="281"/>
      <x:c r="I8" s="281"/>
      <x:c r="J8" s="281"/>
      <x:c r="K8" s="281"/>
      <x:c r="L8" s="281"/>
      <x:c r="M8" s="281"/>
      <x:c r="N8" s="281"/>
      <x:c r="O8" s="281"/>
      <x:c r="P8" s="281"/>
      <x:c r="Q8" s="281"/>
      <x:c r="R8" s="281"/>
      <x:c r="S8" s="281"/>
      <x:c r="T8" s="281"/>
      <x:c r="U8" s="281"/>
      <x:c r="V8" s="281"/>
      <x:c r="W8" s="281"/>
      <x:c r="X8" s="281"/>
      <x:c r="Y8" s="281"/>
      <x:c r="Z8" s="281"/>
      <x:c r="AA8" s="281"/>
      <x:c r="AB8" s="281"/>
      <x:c r="AC8" s="281"/>
      <x:c r="AD8" s="281"/>
      <x:c r="AE8" s="281"/>
      <x:c r="AF8" s="281"/>
      <x:c r="AG8" s="281"/>
      <x:c r="AH8" s="281"/>
      <x:c r="AI8" s="281"/>
      <x:c r="AJ8" s="281"/>
      <x:c r="AK8" s="281"/>
      <x:c r="AL8" s="281"/>
      <x:c r="AM8" s="281"/>
      <x:c r="AN8" s="281"/>
    </x:row>
    <x:row r="9">
      <x:c r="A9" s="281"/>
      <x:c r="B9" s="409" t="str">
        <x:v>Archived</x:v>
      </x:c>
      <x:c r="C9" s="281"/>
      <x:c r="D9" s="281"/>
      <x:c r="E9" s="281"/>
      <x:c r="F9" s="409" t="str">
        <x:v>Closed</x:v>
      </x:c>
      <x:c r="G9" s="281"/>
      <x:c r="H9" s="281"/>
      <x:c r="I9" s="281"/>
      <x:c r="J9" s="281"/>
      <x:c r="K9" s="281"/>
      <x:c r="L9" s="281"/>
      <x:c r="M9" s="281"/>
      <x:c r="N9" s="281"/>
      <x:c r="O9" s="281"/>
      <x:c r="P9" s="281"/>
      <x:c r="Q9" s="281"/>
      <x:c r="R9" s="281"/>
      <x:c r="S9" s="281"/>
      <x:c r="T9" s="281"/>
      <x:c r="U9" s="281"/>
      <x:c r="V9" s="281"/>
      <x:c r="W9" s="281"/>
      <x:c r="X9" s="281"/>
      <x:c r="Y9" s="281"/>
      <x:c r="Z9" s="281"/>
      <x:c r="AA9" s="281"/>
      <x:c r="AB9" s="281"/>
      <x:c r="AC9" s="281"/>
      <x:c r="AD9" s="281"/>
      <x:c r="AE9" s="281"/>
      <x:c r="AF9" s="281"/>
      <x:c r="AG9" s="281"/>
      <x:c r="AH9" s="281"/>
      <x:c r="AI9" s="281"/>
      <x:c r="AJ9" s="281"/>
      <x:c r="AK9" s="281"/>
      <x:c r="AL9" s="281"/>
      <x:c r="AM9" s="281"/>
      <x:c r="AN9" s="281"/>
    </x:row>
    <x:row r="10">
      <x:c r="A10" s="281"/>
      <x:c r="B10" s="281"/>
      <x:c r="C10" s="281"/>
      <x:c r="D10" s="281"/>
      <x:c r="E10" s="281"/>
      <x:c r="F10" s="409" t="str">
        <x:v>Declined</x:v>
      </x:c>
      <x:c r="G10" s="281"/>
      <x:c r="H10" s="281"/>
      <x:c r="I10" s="281"/>
      <x:c r="J10" s="281"/>
      <x:c r="K10" s="281"/>
      <x:c r="L10" s="281"/>
      <x:c r="M10" s="281"/>
      <x:c r="N10" s="281"/>
      <x:c r="O10" s="281"/>
      <x:c r="P10" s="281"/>
      <x:c r="Q10" s="281"/>
      <x:c r="R10" s="281"/>
      <x:c r="S10" s="281"/>
      <x:c r="T10" s="281"/>
      <x:c r="U10" s="281"/>
      <x:c r="V10" s="281"/>
      <x:c r="W10" s="281"/>
      <x:c r="X10" s="281"/>
      <x:c r="Y10" s="281"/>
      <x:c r="Z10" s="281"/>
      <x:c r="AA10" s="281"/>
      <x:c r="AB10" s="281"/>
      <x:c r="AC10" s="281"/>
      <x:c r="AD10" s="281"/>
      <x:c r="AE10" s="281"/>
      <x:c r="AF10" s="281"/>
      <x:c r="AG10" s="281"/>
      <x:c r="AH10" s="281"/>
      <x:c r="AI10" s="281"/>
      <x:c r="AJ10" s="281"/>
      <x:c r="AK10" s="281"/>
      <x:c r="AL10" s="281"/>
      <x:c r="AM10" s="281"/>
      <x:c r="AN10" s="281"/>
    </x:row>
    <x:row r="11">
      <x:c r="A11" s="281"/>
      <x:c r="B11" s="281"/>
      <x:c r="C11" s="281"/>
      <x:c r="D11" s="281"/>
      <x:c r="E11" s="281"/>
      <x:c r="F11" s="281"/>
      <x:c r="G11" s="281"/>
      <x:c r="H11" s="281"/>
      <x:c r="I11" s="281"/>
      <x:c r="J11" s="281"/>
      <x:c r="K11" s="281"/>
      <x:c r="L11" s="281"/>
      <x:c r="M11" s="281"/>
      <x:c r="N11" s="281"/>
      <x:c r="O11" s="281"/>
      <x:c r="P11" s="281"/>
      <x:c r="Q11" s="281"/>
      <x:c r="R11" s="281"/>
      <x:c r="S11" s="281"/>
      <x:c r="T11" s="281"/>
      <x:c r="U11" s="281"/>
      <x:c r="V11" s="281"/>
      <x:c r="W11" s="281"/>
      <x:c r="X11" s="281"/>
      <x:c r="Y11" s="281"/>
      <x:c r="Z11" s="281"/>
      <x:c r="AA11" s="281"/>
      <x:c r="AB11" s="281"/>
      <x:c r="AC11" s="281"/>
      <x:c r="AD11" s="281"/>
      <x:c r="AE11" s="281"/>
      <x:c r="AF11" s="281"/>
      <x:c r="AG11" s="281"/>
      <x:c r="AH11" s="281"/>
      <x:c r="AI11" s="281"/>
      <x:c r="AJ11" s="281"/>
      <x:c r="AK11" s="281"/>
      <x:c r="AL11" s="281"/>
      <x:c r="AM11" s="281"/>
      <x:c r="AN11" s="281"/>
    </x:row>
    <x:row r="12">
      <x:c r="A12" s="281"/>
      <x:c r="B12" s="281"/>
      <x:c r="C12" s="281"/>
      <x:c r="D12" s="281"/>
      <x:c r="E12" s="281"/>
      <x:c r="F12" s="281"/>
      <x:c r="G12" s="281"/>
      <x:c r="H12" s="281"/>
      <x:c r="I12" s="281"/>
      <x:c r="J12" s="281"/>
      <x:c r="K12" s="281"/>
      <x:c r="L12" s="281"/>
      <x:c r="M12" s="281"/>
      <x:c r="N12" s="281"/>
      <x:c r="O12" s="281"/>
      <x:c r="P12" s="281"/>
      <x:c r="Q12" s="281"/>
      <x:c r="R12" s="281"/>
      <x:c r="S12" s="281"/>
      <x:c r="T12" s="281"/>
      <x:c r="U12" s="281"/>
      <x:c r="V12" s="281"/>
      <x:c r="W12" s="281"/>
      <x:c r="X12" s="281"/>
      <x:c r="Y12" s="281"/>
      <x:c r="Z12" s="281"/>
      <x:c r="AA12" s="281"/>
      <x:c r="AB12" s="281"/>
      <x:c r="AC12" s="281"/>
      <x:c r="AD12" s="281"/>
      <x:c r="AE12" s="281"/>
      <x:c r="AF12" s="281"/>
      <x:c r="AG12" s="281"/>
      <x:c r="AH12" s="281"/>
      <x:c r="AI12" s="281"/>
      <x:c r="AJ12" s="281"/>
      <x:c r="AK12" s="281"/>
      <x:c r="AL12" s="281"/>
      <x:c r="AM12" s="281"/>
      <x:c r="AN12" s="281"/>
    </x:row>
    <x:row r="13">
      <x:c r="A13" s="281"/>
      <x:c r="B13" s="281"/>
      <x:c r="C13" s="281"/>
      <x:c r="D13" s="281"/>
      <x:c r="E13" s="281"/>
      <x:c r="F13" s="281"/>
      <x:c r="G13" s="281"/>
      <x:c r="H13" s="281"/>
      <x:c r="I13" s="281"/>
      <x:c r="J13" s="281"/>
      <x:c r="K13" s="281"/>
      <x:c r="L13" s="281"/>
      <x:c r="M13" s="281"/>
      <x:c r="N13" s="281"/>
      <x:c r="O13" s="281"/>
      <x:c r="P13" s="281"/>
      <x:c r="Q13" s="281"/>
      <x:c r="R13" s="281"/>
      <x:c r="S13" s="281"/>
      <x:c r="T13" s="281"/>
      <x:c r="U13" s="281"/>
      <x:c r="V13" s="281"/>
      <x:c r="W13" s="281"/>
      <x:c r="X13" s="281"/>
      <x:c r="Y13" s="281"/>
      <x:c r="Z13" s="281"/>
      <x:c r="AA13" s="281"/>
      <x:c r="AB13" s="281"/>
      <x:c r="AC13" s="281"/>
      <x:c r="AD13" s="281"/>
      <x:c r="AE13" s="281"/>
      <x:c r="AF13" s="281"/>
      <x:c r="AG13" s="281"/>
      <x:c r="AH13" s="281"/>
      <x:c r="AI13" s="281"/>
      <x:c r="AJ13" s="281"/>
      <x:c r="AK13" s="281"/>
      <x:c r="AL13" s="281"/>
      <x:c r="AM13" s="281"/>
      <x:c r="AN13" s="281"/>
    </x:row>
    <x:row r="14">
      <x:c r="A14" s="281"/>
      <x:c r="B14" s="281"/>
      <x:c r="C14" s="281"/>
      <x:c r="D14" s="281"/>
      <x:c r="E14" s="281"/>
      <x:c r="F14" s="281"/>
      <x:c r="G14" s="281"/>
      <x:c r="H14" s="281"/>
      <x:c r="I14" s="281"/>
      <x:c r="J14" s="281"/>
      <x:c r="K14" s="281"/>
      <x:c r="L14" s="281"/>
      <x:c r="M14" s="281"/>
      <x:c r="N14" s="281"/>
      <x:c r="O14" s="281"/>
      <x:c r="P14" s="281"/>
      <x:c r="Q14" s="281"/>
      <x:c r="R14" s="281"/>
      <x:c r="S14" s="281"/>
      <x:c r="T14" s="281"/>
      <x:c r="U14" s="281"/>
      <x:c r="V14" s="281"/>
      <x:c r="W14" s="281"/>
      <x:c r="X14" s="281"/>
      <x:c r="Y14" s="281"/>
      <x:c r="Z14" s="281"/>
      <x:c r="AA14" s="281"/>
      <x:c r="AB14" s="281"/>
      <x:c r="AC14" s="281"/>
      <x:c r="AD14" s="281"/>
      <x:c r="AE14" s="281"/>
      <x:c r="AF14" s="281"/>
      <x:c r="AG14" s="281"/>
      <x:c r="AH14" s="281"/>
      <x:c r="AI14" s="281"/>
      <x:c r="AJ14" s="281"/>
      <x:c r="AK14" s="281"/>
      <x:c r="AL14" s="281"/>
      <x:c r="AM14" s="281"/>
      <x:c r="AN14" s="281"/>
    </x:row>
    <x:row r="15">
      <x:c r="A15" s="281"/>
      <x:c r="B15" s="281"/>
      <x:c r="C15" s="281"/>
      <x:c r="D15" s="281"/>
      <x:c r="E15" s="281"/>
      <x:c r="F15" s="281"/>
      <x:c r="G15" s="281"/>
      <x:c r="H15" s="281"/>
      <x:c r="I15" s="281"/>
      <x:c r="J15" s="281"/>
      <x:c r="K15" s="281"/>
      <x:c r="L15" s="281"/>
      <x:c r="M15" s="281"/>
      <x:c r="N15" s="281"/>
      <x:c r="O15" s="281"/>
      <x:c r="P15" s="281"/>
      <x:c r="Q15" s="281"/>
      <x:c r="R15" s="281"/>
      <x:c r="S15" s="281"/>
      <x:c r="T15" s="281"/>
      <x:c r="U15" s="281"/>
      <x:c r="V15" s="281"/>
      <x:c r="W15" s="281"/>
      <x:c r="X15" s="281"/>
      <x:c r="Y15" s="281"/>
      <x:c r="Z15" s="281"/>
      <x:c r="AA15" s="281"/>
      <x:c r="AB15" s="281"/>
      <x:c r="AC15" s="281"/>
      <x:c r="AD15" s="281"/>
      <x:c r="AE15" s="281"/>
      <x:c r="AF15" s="281"/>
      <x:c r="AG15" s="281"/>
      <x:c r="AH15" s="281"/>
      <x:c r="AI15" s="281"/>
      <x:c r="AJ15" s="281"/>
      <x:c r="AK15" s="281"/>
      <x:c r="AL15" s="281"/>
      <x:c r="AM15" s="281"/>
      <x:c r="AN15" s="281"/>
    </x:row>
    <x:row r="16">
      <x:c r="A16" s="281"/>
      <x:c r="B16" s="281"/>
      <x:c r="C16" s="281"/>
      <x:c r="D16" s="281"/>
      <x:c r="E16" s="281"/>
      <x:c r="F16" s="281"/>
      <x:c r="G16" s="281"/>
      <x:c r="H16" s="281"/>
      <x:c r="I16" s="281"/>
      <x:c r="J16" s="281"/>
      <x:c r="K16" s="281"/>
      <x:c r="L16" s="281"/>
      <x:c r="M16" s="281"/>
      <x:c r="N16" s="281"/>
      <x:c r="O16" s="281"/>
      <x:c r="P16" s="281"/>
      <x:c r="Q16" s="281"/>
      <x:c r="R16" s="281"/>
      <x:c r="S16" s="281"/>
      <x:c r="T16" s="281"/>
      <x:c r="U16" s="281"/>
      <x:c r="V16" s="281"/>
      <x:c r="W16" s="281"/>
      <x:c r="X16" s="281"/>
      <x:c r="Y16" s="281"/>
      <x:c r="Z16" s="281"/>
      <x:c r="AA16" s="281"/>
      <x:c r="AB16" s="281"/>
      <x:c r="AC16" s="281"/>
      <x:c r="AD16" s="281"/>
      <x:c r="AE16" s="281"/>
      <x:c r="AF16" s="281"/>
      <x:c r="AG16" s="281"/>
      <x:c r="AH16" s="281"/>
      <x:c r="AI16" s="281"/>
      <x:c r="AJ16" s="281"/>
      <x:c r="AK16" s="281"/>
      <x:c r="AL16" s="281"/>
      <x:c r="AM16" s="281"/>
      <x:c r="AN16" s="281"/>
    </x:row>
    <x:row r="17">
      <x:c r="A17" s="281"/>
      <x:c r="B17" s="281"/>
      <x:c r="C17" s="281"/>
      <x:c r="D17" s="281"/>
      <x:c r="E17" s="281"/>
      <x:c r="F17" s="281"/>
      <x:c r="G17" s="281"/>
      <x:c r="H17" s="281"/>
      <x:c r="I17" s="281"/>
      <x:c r="J17" s="281"/>
      <x:c r="K17" s="281"/>
      <x:c r="L17" s="281"/>
      <x:c r="M17" s="281"/>
      <x:c r="N17" s="281"/>
      <x:c r="O17" s="281"/>
      <x:c r="P17" s="281"/>
      <x:c r="Q17" s="281"/>
      <x:c r="R17" s="281"/>
      <x:c r="S17" s="281"/>
      <x:c r="T17" s="281"/>
      <x:c r="U17" s="281"/>
      <x:c r="V17" s="281"/>
      <x:c r="W17" s="281"/>
      <x:c r="X17" s="281"/>
      <x:c r="Y17" s="281"/>
      <x:c r="Z17" s="281"/>
      <x:c r="AA17" s="281"/>
      <x:c r="AB17" s="281"/>
      <x:c r="AC17" s="281"/>
      <x:c r="AD17" s="281"/>
      <x:c r="AE17" s="281"/>
      <x:c r="AF17" s="281"/>
      <x:c r="AG17" s="281"/>
      <x:c r="AH17" s="281"/>
      <x:c r="AI17" s="281"/>
      <x:c r="AJ17" s="281"/>
      <x:c r="AK17" s="281"/>
      <x:c r="AL17" s="281"/>
      <x:c r="AM17" s="281"/>
      <x:c r="AN17" s="281"/>
    </x:row>
    <x:row r="18">
      <x:c r="A18" s="281"/>
      <x:c r="B18" s="281"/>
      <x:c r="C18" s="281"/>
      <x:c r="D18" s="281"/>
      <x:c r="E18" s="281"/>
      <x:c r="F18" s="281"/>
      <x:c r="G18" s="281"/>
      <x:c r="H18" s="281"/>
      <x:c r="I18" s="281"/>
      <x:c r="J18" s="281"/>
      <x:c r="K18" s="281"/>
      <x:c r="L18" s="281"/>
      <x:c r="M18" s="281"/>
      <x:c r="N18" s="281"/>
      <x:c r="O18" s="281"/>
      <x:c r="P18" s="281"/>
      <x:c r="Q18" s="281"/>
      <x:c r="R18" s="281"/>
      <x:c r="S18" s="281"/>
      <x:c r="T18" s="281"/>
      <x:c r="U18" s="281"/>
      <x:c r="V18" s="281"/>
      <x:c r="W18" s="281"/>
      <x:c r="X18" s="281"/>
      <x:c r="Y18" s="281"/>
      <x:c r="Z18" s="281"/>
      <x:c r="AA18" s="281"/>
      <x:c r="AB18" s="281"/>
      <x:c r="AC18" s="281"/>
      <x:c r="AD18" s="281"/>
      <x:c r="AE18" s="281"/>
      <x:c r="AF18" s="281"/>
      <x:c r="AG18" s="281"/>
      <x:c r="AH18" s="281"/>
      <x:c r="AI18" s="281"/>
      <x:c r="AJ18" s="281"/>
      <x:c r="AK18" s="281"/>
      <x:c r="AL18" s="281"/>
      <x:c r="AM18" s="281"/>
      <x:c r="AN18" s="281"/>
    </x:row>
    <x:row r="19">
      <x:c r="A19" s="281"/>
      <x:c r="B19" s="281"/>
      <x:c r="C19" s="281"/>
      <x:c r="D19" s="281"/>
      <x:c r="E19" s="281"/>
      <x:c r="F19" s="281"/>
      <x:c r="G19" s="281"/>
      <x:c r="H19" s="281"/>
      <x:c r="I19" s="281"/>
      <x:c r="J19" s="281"/>
      <x:c r="K19" s="281"/>
      <x:c r="L19" s="281"/>
      <x:c r="M19" s="281"/>
      <x:c r="N19" s="281"/>
      <x:c r="O19" s="281"/>
      <x:c r="P19" s="281"/>
      <x:c r="Q19" s="281"/>
      <x:c r="R19" s="281"/>
      <x:c r="S19" s="281"/>
      <x:c r="T19" s="281"/>
      <x:c r="U19" s="281"/>
      <x:c r="V19" s="281"/>
      <x:c r="W19" s="281"/>
      <x:c r="X19" s="281"/>
      <x:c r="Y19" s="281"/>
      <x:c r="Z19" s="281"/>
      <x:c r="AA19" s="281"/>
      <x:c r="AB19" s="281"/>
      <x:c r="AC19" s="281"/>
      <x:c r="AD19" s="281"/>
      <x:c r="AE19" s="281"/>
      <x:c r="AF19" s="281"/>
      <x:c r="AG19" s="281"/>
      <x:c r="AH19" s="281"/>
      <x:c r="AI19" s="281"/>
      <x:c r="AJ19" s="281"/>
      <x:c r="AK19" s="281"/>
      <x:c r="AL19" s="281"/>
      <x:c r="AM19" s="281"/>
      <x:c r="AN19" s="281"/>
    </x:row>
    <x:row r="20">
      <x:c r="A20" s="281"/>
      <x:c r="B20" s="281"/>
      <x:c r="C20" s="281"/>
      <x:c r="D20" s="281"/>
      <x:c r="E20" s="281"/>
      <x:c r="F20" s="281"/>
      <x:c r="G20" s="281"/>
      <x:c r="H20" s="281"/>
      <x:c r="I20" s="281"/>
      <x:c r="J20" s="281"/>
      <x:c r="K20" s="281"/>
      <x:c r="L20" s="281"/>
      <x:c r="M20" s="281"/>
      <x:c r="N20" s="281"/>
      <x:c r="O20" s="281"/>
      <x:c r="P20" s="281"/>
      <x:c r="Q20" s="281"/>
      <x:c r="R20" s="281"/>
      <x:c r="S20" s="281"/>
      <x:c r="T20" s="281"/>
      <x:c r="U20" s="281"/>
      <x:c r="V20" s="281"/>
      <x:c r="W20" s="281"/>
      <x:c r="X20" s="281"/>
      <x:c r="Y20" s="281"/>
      <x:c r="Z20" s="281"/>
      <x:c r="AA20" s="281"/>
      <x:c r="AB20" s="281"/>
      <x:c r="AC20" s="281"/>
      <x:c r="AD20" s="281"/>
      <x:c r="AE20" s="281"/>
      <x:c r="AF20" s="281"/>
      <x:c r="AG20" s="281"/>
      <x:c r="AH20" s="281"/>
      <x:c r="AI20" s="281"/>
      <x:c r="AJ20" s="281"/>
      <x:c r="AK20" s="281"/>
      <x:c r="AL20" s="281"/>
      <x:c r="AM20" s="281"/>
      <x:c r="AN20" s="281"/>
    </x:row>
    <x:row r="21">
      <x:c r="A21" s="281"/>
      <x:c r="B21" s="281"/>
      <x:c r="C21" s="281"/>
      <x:c r="D21" s="281"/>
      <x:c r="E21" s="281"/>
      <x:c r="F21" s="281"/>
      <x:c r="G21" s="281"/>
      <x:c r="H21" s="281"/>
      <x:c r="I21" s="281"/>
      <x:c r="J21" s="281"/>
      <x:c r="K21" s="281"/>
      <x:c r="L21" s="281"/>
      <x:c r="M21" s="281"/>
      <x:c r="N21" s="281"/>
      <x:c r="O21" s="281"/>
      <x:c r="P21" s="281"/>
      <x:c r="Q21" s="281"/>
      <x:c r="R21" s="281"/>
      <x:c r="S21" s="281"/>
      <x:c r="T21" s="281"/>
      <x:c r="U21" s="281"/>
      <x:c r="V21" s="281"/>
      <x:c r="W21" s="281"/>
      <x:c r="X21" s="281"/>
      <x:c r="Y21" s="281"/>
      <x:c r="Z21" s="281"/>
      <x:c r="AA21" s="281"/>
      <x:c r="AB21" s="281"/>
      <x:c r="AC21" s="281"/>
      <x:c r="AD21" s="281"/>
      <x:c r="AE21" s="281"/>
      <x:c r="AF21" s="281"/>
      <x:c r="AG21" s="281"/>
      <x:c r="AH21" s="281"/>
      <x:c r="AI21" s="281"/>
      <x:c r="AJ21" s="281"/>
      <x:c r="AK21" s="281"/>
      <x:c r="AL21" s="281"/>
      <x:c r="AM21" s="281"/>
      <x:c r="AN21" s="281"/>
    </x:row>
    <x:row r="22">
      <x:c r="A22" s="281"/>
      <x:c r="B22" s="281"/>
      <x:c r="C22" s="281"/>
      <x:c r="D22" s="281"/>
      <x:c r="E22" s="281"/>
      <x:c r="F22" s="281"/>
      <x:c r="G22" s="281"/>
      <x:c r="H22" s="281"/>
      <x:c r="I22" s="281"/>
      <x:c r="J22" s="281"/>
      <x:c r="K22" s="281"/>
      <x:c r="L22" s="281"/>
      <x:c r="M22" s="281"/>
      <x:c r="N22" s="281"/>
      <x:c r="O22" s="281"/>
      <x:c r="P22" s="281"/>
      <x:c r="Q22" s="281"/>
      <x:c r="R22" s="281"/>
      <x:c r="S22" s="281"/>
      <x:c r="T22" s="281"/>
      <x:c r="U22" s="281"/>
      <x:c r="V22" s="281"/>
      <x:c r="W22" s="281"/>
      <x:c r="X22" s="281"/>
      <x:c r="Y22" s="281"/>
      <x:c r="Z22" s="281"/>
      <x:c r="AA22" s="281"/>
      <x:c r="AB22" s="281"/>
      <x:c r="AC22" s="281"/>
      <x:c r="AD22" s="281"/>
      <x:c r="AE22" s="281"/>
      <x:c r="AF22" s="281"/>
      <x:c r="AG22" s="281"/>
      <x:c r="AH22" s="281"/>
      <x:c r="AI22" s="281"/>
      <x:c r="AJ22" s="281"/>
      <x:c r="AK22" s="281"/>
      <x:c r="AL22" s="281"/>
      <x:c r="AM22" s="281"/>
      <x:c r="AN22" s="281"/>
    </x:row>
    <x:row r="23">
      <x:c r="A23" s="281"/>
      <x:c r="B23" s="281"/>
      <x:c r="C23" s="281"/>
      <x:c r="D23" s="281"/>
      <x:c r="E23" s="281"/>
      <x:c r="F23" s="281"/>
      <x:c r="G23" s="281"/>
      <x:c r="H23" s="281"/>
      <x:c r="I23" s="281"/>
      <x:c r="J23" s="281"/>
      <x:c r="K23" s="281"/>
      <x:c r="L23" s="281"/>
      <x:c r="M23" s="281"/>
      <x:c r="N23" s="281"/>
      <x:c r="O23" s="281"/>
      <x:c r="P23" s="281"/>
      <x:c r="Q23" s="281"/>
      <x:c r="R23" s="281"/>
      <x:c r="S23" s="281"/>
      <x:c r="T23" s="281"/>
      <x:c r="U23" s="281"/>
      <x:c r="V23" s="281"/>
      <x:c r="W23" s="281"/>
      <x:c r="X23" s="281"/>
      <x:c r="Y23" s="281"/>
      <x:c r="Z23" s="281"/>
      <x:c r="AA23" s="281"/>
      <x:c r="AB23" s="281"/>
      <x:c r="AC23" s="281"/>
      <x:c r="AD23" s="281"/>
      <x:c r="AE23" s="281"/>
      <x:c r="AF23" s="281"/>
      <x:c r="AG23" s="281"/>
      <x:c r="AH23" s="281"/>
      <x:c r="AI23" s="281"/>
      <x:c r="AJ23" s="281"/>
      <x:c r="AK23" s="281"/>
      <x:c r="AL23" s="281"/>
      <x:c r="AM23" s="281"/>
      <x:c r="AN23" s="281"/>
    </x:row>
    <x:row r="24">
      <x:c r="A24" s="281"/>
      <x:c r="B24" s="281"/>
      <x:c r="C24" s="281"/>
      <x:c r="D24" s="281"/>
      <x:c r="E24" s="281"/>
      <x:c r="F24" s="281"/>
      <x:c r="G24" s="281"/>
      <x:c r="H24" s="281"/>
      <x:c r="I24" s="281"/>
      <x:c r="J24" s="281"/>
      <x:c r="K24" s="281"/>
      <x:c r="L24" s="281"/>
      <x:c r="M24" s="281"/>
      <x:c r="N24" s="281"/>
      <x:c r="O24" s="281"/>
      <x:c r="P24" s="281"/>
      <x:c r="Q24" s="281"/>
      <x:c r="R24" s="281"/>
      <x:c r="S24" s="281"/>
      <x:c r="T24" s="281"/>
      <x:c r="U24" s="281"/>
      <x:c r="V24" s="281"/>
      <x:c r="W24" s="281"/>
      <x:c r="X24" s="281"/>
      <x:c r="Y24" s="281"/>
      <x:c r="Z24" s="281"/>
      <x:c r="AA24" s="281"/>
      <x:c r="AB24" s="281"/>
      <x:c r="AC24" s="281"/>
      <x:c r="AD24" s="281"/>
      <x:c r="AE24" s="281"/>
      <x:c r="AF24" s="281"/>
      <x:c r="AG24" s="281"/>
      <x:c r="AH24" s="281"/>
      <x:c r="AI24" s="281"/>
      <x:c r="AJ24" s="281"/>
      <x:c r="AK24" s="281"/>
      <x:c r="AL24" s="281"/>
      <x:c r="AM24" s="281"/>
      <x:c r="AN24" s="281"/>
    </x:row>
    <x:row r="25">
      <x:c r="A25" s="281"/>
      <x:c r="B25" s="281"/>
      <x:c r="C25" s="281"/>
      <x:c r="D25" s="281"/>
      <x:c r="E25" s="281"/>
      <x:c r="F25" s="281"/>
      <x:c r="G25" s="281"/>
      <x:c r="H25" s="281"/>
      <x:c r="I25" s="281"/>
      <x:c r="J25" s="281"/>
      <x:c r="K25" s="281"/>
      <x:c r="L25" s="281"/>
      <x:c r="M25" s="281"/>
      <x:c r="N25" s="281"/>
      <x:c r="O25" s="281"/>
      <x:c r="P25" s="281"/>
      <x:c r="Q25" s="281"/>
      <x:c r="R25" s="281"/>
      <x:c r="S25" s="281"/>
      <x:c r="T25" s="281"/>
      <x:c r="U25" s="281"/>
      <x:c r="V25" s="281"/>
      <x:c r="W25" s="281"/>
      <x:c r="X25" s="281"/>
      <x:c r="Y25" s="281"/>
      <x:c r="Z25" s="281"/>
      <x:c r="AA25" s="281"/>
      <x:c r="AB25" s="281"/>
      <x:c r="AC25" s="281"/>
      <x:c r="AD25" s="281"/>
      <x:c r="AE25" s="281"/>
      <x:c r="AF25" s="281"/>
      <x:c r="AG25" s="281"/>
      <x:c r="AH25" s="281"/>
      <x:c r="AI25" s="281"/>
      <x:c r="AJ25" s="281"/>
      <x:c r="AK25" s="281"/>
      <x:c r="AL25" s="281"/>
      <x:c r="AM25" s="281"/>
      <x:c r="AN25" s="281"/>
    </x:row>
    <x:row r="26">
      <x:c r="A26" s="281"/>
      <x:c r="B26" s="281"/>
      <x:c r="C26" s="281"/>
      <x:c r="D26" s="281"/>
      <x:c r="E26" s="281"/>
      <x:c r="F26" s="281"/>
      <x:c r="G26" s="281"/>
      <x:c r="H26" s="281"/>
      <x:c r="I26" s="281"/>
      <x:c r="J26" s="281"/>
      <x:c r="K26" s="281"/>
      <x:c r="L26" s="281"/>
      <x:c r="M26" s="281"/>
      <x:c r="N26" s="281"/>
      <x:c r="O26" s="281"/>
      <x:c r="P26" s="281"/>
      <x:c r="Q26" s="281"/>
      <x:c r="R26" s="281"/>
      <x:c r="S26" s="281"/>
      <x:c r="T26" s="281"/>
      <x:c r="U26" s="281"/>
      <x:c r="V26" s="281"/>
      <x:c r="W26" s="281"/>
      <x:c r="X26" s="281"/>
      <x:c r="Y26" s="281"/>
      <x:c r="Z26" s="281"/>
      <x:c r="AA26" s="281"/>
      <x:c r="AB26" s="281"/>
      <x:c r="AC26" s="281"/>
      <x:c r="AD26" s="281"/>
      <x:c r="AE26" s="281"/>
      <x:c r="AF26" s="281"/>
      <x:c r="AG26" s="281"/>
      <x:c r="AH26" s="281"/>
      <x:c r="AI26" s="281"/>
      <x:c r="AJ26" s="281"/>
      <x:c r="AK26" s="281"/>
      <x:c r="AL26" s="281"/>
      <x:c r="AM26" s="281"/>
      <x:c r="AN26" s="281"/>
    </x:row>
    <x:row r="27">
      <x:c r="A27" s="281"/>
      <x:c r="B27" s="281"/>
      <x:c r="C27" s="281"/>
      <x:c r="D27" s="281"/>
      <x:c r="E27" s="281"/>
      <x:c r="F27" s="281"/>
      <x:c r="G27" s="281"/>
      <x:c r="H27" s="281"/>
      <x:c r="I27" s="281"/>
      <x:c r="J27" s="281"/>
      <x:c r="K27" s="281"/>
      <x:c r="L27" s="281"/>
      <x:c r="M27" s="281"/>
      <x:c r="N27" s="281"/>
      <x:c r="O27" s="281"/>
      <x:c r="P27" s="281"/>
      <x:c r="Q27" s="281"/>
      <x:c r="R27" s="281"/>
      <x:c r="S27" s="281"/>
      <x:c r="T27" s="281"/>
      <x:c r="U27" s="281"/>
      <x:c r="V27" s="281"/>
      <x:c r="W27" s="281"/>
      <x:c r="X27" s="281"/>
      <x:c r="Y27" s="281"/>
      <x:c r="Z27" s="281"/>
      <x:c r="AA27" s="281"/>
      <x:c r="AB27" s="281"/>
      <x:c r="AC27" s="281"/>
      <x:c r="AD27" s="281"/>
      <x:c r="AE27" s="281"/>
      <x:c r="AF27" s="281"/>
      <x:c r="AG27" s="281"/>
      <x:c r="AH27" s="281"/>
      <x:c r="AI27" s="281"/>
      <x:c r="AJ27" s="281"/>
      <x:c r="AK27" s="281"/>
      <x:c r="AL27" s="281"/>
      <x:c r="AM27" s="281"/>
      <x:c r="AN27" s="281"/>
    </x:row>
    <x:row r="28">
      <x:c r="A28" s="281"/>
      <x:c r="B28" s="281"/>
      <x:c r="C28" s="281"/>
      <x:c r="D28" s="281"/>
      <x:c r="E28" s="281"/>
      <x:c r="F28" s="281"/>
      <x:c r="G28" s="281"/>
      <x:c r="H28" s="281"/>
      <x:c r="I28" s="281"/>
      <x:c r="J28" s="281"/>
      <x:c r="K28" s="281"/>
      <x:c r="L28" s="281"/>
      <x:c r="M28" s="281"/>
      <x:c r="N28" s="281"/>
      <x:c r="O28" s="281"/>
      <x:c r="P28" s="281"/>
      <x:c r="Q28" s="281"/>
      <x:c r="R28" s="281"/>
      <x:c r="S28" s="281"/>
      <x:c r="T28" s="281"/>
      <x:c r="U28" s="281"/>
      <x:c r="V28" s="281"/>
      <x:c r="W28" s="281"/>
      <x:c r="X28" s="281"/>
      <x:c r="Y28" s="281"/>
      <x:c r="Z28" s="281"/>
      <x:c r="AA28" s="281"/>
      <x:c r="AB28" s="281"/>
      <x:c r="AC28" s="281"/>
      <x:c r="AD28" s="281"/>
      <x:c r="AE28" s="281"/>
      <x:c r="AF28" s="281"/>
      <x:c r="AG28" s="281"/>
      <x:c r="AH28" s="281"/>
      <x:c r="AI28" s="281"/>
      <x:c r="AJ28" s="281"/>
      <x:c r="AK28" s="281"/>
      <x:c r="AL28" s="281"/>
      <x:c r="AM28" s="281"/>
      <x:c r="AN28" s="281"/>
    </x:row>
    <x:row r="29">
      <x:c r="A29" s="281"/>
      <x:c r="B29" s="281"/>
      <x:c r="C29" s="281"/>
      <x:c r="D29" s="281"/>
      <x:c r="E29" s="281"/>
      <x:c r="F29" s="281"/>
      <x:c r="G29" s="281"/>
      <x:c r="H29" s="281"/>
      <x:c r="I29" s="281"/>
      <x:c r="J29" s="281"/>
      <x:c r="K29" s="281"/>
      <x:c r="L29" s="281"/>
      <x:c r="M29" s="281"/>
      <x:c r="N29" s="281"/>
      <x:c r="O29" s="281"/>
      <x:c r="P29" s="281"/>
      <x:c r="Q29" s="281"/>
      <x:c r="R29" s="281"/>
      <x:c r="S29" s="281"/>
      <x:c r="T29" s="281"/>
      <x:c r="U29" s="281"/>
      <x:c r="V29" s="281"/>
      <x:c r="W29" s="281"/>
      <x:c r="X29" s="281"/>
      <x:c r="Y29" s="281"/>
      <x:c r="Z29" s="281"/>
      <x:c r="AA29" s="281"/>
      <x:c r="AB29" s="281"/>
      <x:c r="AC29" s="281"/>
      <x:c r="AD29" s="281"/>
      <x:c r="AE29" s="281"/>
      <x:c r="AF29" s="281"/>
      <x:c r="AG29" s="281"/>
      <x:c r="AH29" s="281"/>
      <x:c r="AI29" s="281"/>
      <x:c r="AJ29" s="281"/>
      <x:c r="AK29" s="281"/>
      <x:c r="AL29" s="281"/>
      <x:c r="AM29" s="281"/>
      <x:c r="AN29" s="281"/>
    </x:row>
    <x:row r="30">
      <x:c r="A30" s="281"/>
      <x:c r="B30" s="281"/>
      <x:c r="C30" s="281"/>
      <x:c r="D30" s="281"/>
      <x:c r="E30" s="281"/>
      <x:c r="F30" s="281"/>
      <x:c r="G30" s="281"/>
      <x:c r="H30" s="281"/>
      <x:c r="I30" s="281"/>
      <x:c r="J30" s="281"/>
      <x:c r="K30" s="281"/>
      <x:c r="L30" s="281"/>
      <x:c r="M30" s="281"/>
      <x:c r="N30" s="281"/>
      <x:c r="O30" s="281"/>
      <x:c r="P30" s="281"/>
      <x:c r="Q30" s="281"/>
      <x:c r="R30" s="281"/>
      <x:c r="S30" s="281"/>
      <x:c r="T30" s="281"/>
      <x:c r="U30" s="281"/>
      <x:c r="V30" s="281"/>
      <x:c r="W30" s="281"/>
      <x:c r="X30" s="281"/>
      <x:c r="Y30" s="281"/>
      <x:c r="Z30" s="281"/>
      <x:c r="AA30" s="281"/>
      <x:c r="AB30" s="281"/>
      <x:c r="AC30" s="281"/>
      <x:c r="AD30" s="281"/>
      <x:c r="AE30" s="281"/>
      <x:c r="AF30" s="281"/>
      <x:c r="AG30" s="281"/>
      <x:c r="AH30" s="281"/>
      <x:c r="AI30" s="281"/>
      <x:c r="AJ30" s="281"/>
      <x:c r="AK30" s="281"/>
      <x:c r="AL30" s="281"/>
      <x:c r="AM30" s="281"/>
      <x:c r="AN30" s="281"/>
    </x:row>
    <x:row r="31">
      <x:c r="A31" s="281"/>
      <x:c r="B31" s="281"/>
      <x:c r="C31" s="281"/>
      <x:c r="D31" s="281"/>
      <x:c r="E31" s="281"/>
      <x:c r="F31" s="281"/>
      <x:c r="G31" s="281"/>
      <x:c r="H31" s="281"/>
      <x:c r="I31" s="281"/>
      <x:c r="J31" s="281"/>
      <x:c r="K31" s="281"/>
      <x:c r="L31" s="281"/>
      <x:c r="M31" s="281"/>
      <x:c r="N31" s="281"/>
      <x:c r="O31" s="281"/>
      <x:c r="P31" s="281"/>
      <x:c r="Q31" s="281"/>
      <x:c r="R31" s="281"/>
      <x:c r="S31" s="281"/>
      <x:c r="T31" s="281"/>
      <x:c r="U31" s="281"/>
      <x:c r="V31" s="281"/>
      <x:c r="W31" s="281"/>
      <x:c r="X31" s="281"/>
      <x:c r="Y31" s="281"/>
      <x:c r="Z31" s="281"/>
      <x:c r="AA31" s="281"/>
      <x:c r="AB31" s="281"/>
      <x:c r="AC31" s="281"/>
      <x:c r="AD31" s="281"/>
      <x:c r="AE31" s="281"/>
      <x:c r="AF31" s="281"/>
      <x:c r="AG31" s="281"/>
      <x:c r="AH31" s="281"/>
      <x:c r="AI31" s="281"/>
      <x:c r="AJ31" s="281"/>
      <x:c r="AK31" s="281"/>
      <x:c r="AL31" s="281"/>
      <x:c r="AM31" s="281"/>
      <x:c r="AN31" s="281"/>
    </x:row>
    <x:row r="32">
      <x:c r="A32" s="281"/>
      <x:c r="B32" s="281"/>
      <x:c r="C32" s="281"/>
      <x:c r="D32" s="281"/>
      <x:c r="E32" s="281"/>
      <x:c r="F32" s="281"/>
      <x:c r="G32" s="281"/>
      <x:c r="H32" s="281"/>
      <x:c r="I32" s="281"/>
      <x:c r="J32" s="281"/>
      <x:c r="K32" s="281"/>
      <x:c r="L32" s="281"/>
      <x:c r="M32" s="281"/>
      <x:c r="N32" s="281"/>
      <x:c r="O32" s="281"/>
      <x:c r="P32" s="281"/>
      <x:c r="Q32" s="281"/>
      <x:c r="R32" s="281"/>
      <x:c r="S32" s="281"/>
      <x:c r="T32" s="281"/>
      <x:c r="U32" s="281"/>
      <x:c r="V32" s="281"/>
      <x:c r="W32" s="281"/>
      <x:c r="X32" s="281"/>
      <x:c r="Y32" s="281"/>
      <x:c r="Z32" s="281"/>
      <x:c r="AA32" s="281"/>
      <x:c r="AB32" s="281"/>
      <x:c r="AC32" s="281"/>
      <x:c r="AD32" s="281"/>
      <x:c r="AE32" s="281"/>
      <x:c r="AF32" s="281"/>
      <x:c r="AG32" s="281"/>
      <x:c r="AH32" s="281"/>
      <x:c r="AI32" s="281"/>
      <x:c r="AJ32" s="281"/>
      <x:c r="AK32" s="281"/>
      <x:c r="AL32" s="281"/>
      <x:c r="AM32" s="281"/>
      <x:c r="AN32" s="281"/>
    </x:row>
    <x:row r="33">
      <x:c r="A33" s="281"/>
      <x:c r="B33" s="281"/>
      <x:c r="C33" s="281"/>
      <x:c r="D33" s="281"/>
      <x:c r="E33" s="281"/>
      <x:c r="F33" s="281"/>
      <x:c r="G33" s="281"/>
      <x:c r="H33" s="281"/>
      <x:c r="I33" s="281"/>
      <x:c r="J33" s="281"/>
      <x:c r="K33" s="281"/>
      <x:c r="L33" s="281"/>
      <x:c r="M33" s="281"/>
      <x:c r="N33" s="281"/>
      <x:c r="O33" s="281"/>
      <x:c r="P33" s="281"/>
      <x:c r="Q33" s="281"/>
      <x:c r="R33" s="281"/>
      <x:c r="S33" s="281"/>
      <x:c r="T33" s="281"/>
      <x:c r="U33" s="281"/>
      <x:c r="V33" s="281"/>
      <x:c r="W33" s="281"/>
      <x:c r="X33" s="281"/>
      <x:c r="Y33" s="281"/>
      <x:c r="Z33" s="281"/>
      <x:c r="AA33" s="281"/>
      <x:c r="AB33" s="281"/>
      <x:c r="AC33" s="281"/>
      <x:c r="AD33" s="281"/>
      <x:c r="AE33" s="281"/>
      <x:c r="AF33" s="281"/>
      <x:c r="AG33" s="281"/>
      <x:c r="AH33" s="281"/>
      <x:c r="AI33" s="281"/>
      <x:c r="AJ33" s="281"/>
      <x:c r="AK33" s="281"/>
      <x:c r="AL33" s="281"/>
      <x:c r="AM33" s="281"/>
      <x:c r="AN33" s="281"/>
    </x:row>
    <x:row r="34">
      <x:c r="A34" s="281"/>
      <x:c r="B34" s="281"/>
      <x:c r="C34" s="281"/>
      <x:c r="D34" s="281"/>
      <x:c r="E34" s="281"/>
      <x:c r="F34" s="281"/>
      <x:c r="G34" s="281"/>
      <x:c r="H34" s="281"/>
      <x:c r="I34" s="281"/>
      <x:c r="J34" s="281"/>
      <x:c r="K34" s="281"/>
      <x:c r="L34" s="281"/>
      <x:c r="M34" s="281"/>
      <x:c r="N34" s="281"/>
      <x:c r="O34" s="281"/>
      <x:c r="P34" s="281"/>
      <x:c r="Q34" s="281"/>
      <x:c r="R34" s="281"/>
      <x:c r="S34" s="281"/>
      <x:c r="T34" s="281"/>
      <x:c r="U34" s="281"/>
      <x:c r="V34" s="281"/>
      <x:c r="W34" s="281"/>
      <x:c r="X34" s="281"/>
      <x:c r="Y34" s="281"/>
      <x:c r="Z34" s="281"/>
      <x:c r="AA34" s="281"/>
      <x:c r="AB34" s="281"/>
      <x:c r="AC34" s="281"/>
      <x:c r="AD34" s="281"/>
      <x:c r="AE34" s="281"/>
      <x:c r="AF34" s="281"/>
      <x:c r="AG34" s="281"/>
      <x:c r="AH34" s="281"/>
      <x:c r="AI34" s="281"/>
      <x:c r="AJ34" s="281"/>
      <x:c r="AK34" s="281"/>
      <x:c r="AL34" s="281"/>
      <x:c r="AM34" s="281"/>
      <x:c r="AN34" s="281"/>
    </x:row>
    <x:row r="35">
      <x:c r="A35" s="281"/>
      <x:c r="B35" s="281"/>
      <x:c r="C35" s="281"/>
      <x:c r="D35" s="281"/>
      <x:c r="E35" s="281"/>
      <x:c r="F35" s="281"/>
      <x:c r="G35" s="281"/>
      <x:c r="H35" s="281"/>
      <x:c r="I35" s="281"/>
      <x:c r="J35" s="281"/>
      <x:c r="K35" s="281"/>
      <x:c r="L35" s="281"/>
      <x:c r="M35" s="281"/>
      <x:c r="N35" s="281"/>
      <x:c r="O35" s="281"/>
      <x:c r="P35" s="281"/>
      <x:c r="Q35" s="281"/>
      <x:c r="R35" s="281"/>
      <x:c r="S35" s="281"/>
      <x:c r="T35" s="281"/>
      <x:c r="U35" s="281"/>
      <x:c r="V35" s="281"/>
      <x:c r="W35" s="281"/>
      <x:c r="X35" s="281"/>
      <x:c r="Y35" s="281"/>
      <x:c r="Z35" s="281"/>
      <x:c r="AA35" s="281"/>
      <x:c r="AB35" s="281"/>
      <x:c r="AC35" s="281"/>
      <x:c r="AD35" s="281"/>
      <x:c r="AE35" s="281"/>
      <x:c r="AF35" s="281"/>
      <x:c r="AG35" s="281"/>
      <x:c r="AH35" s="281"/>
      <x:c r="AI35" s="281"/>
      <x:c r="AJ35" s="281"/>
      <x:c r="AK35" s="281"/>
      <x:c r="AL35" s="281"/>
      <x:c r="AM35" s="281"/>
      <x:c r="AN35" s="281"/>
    </x:row>
    <x:row r="36">
      <x:c r="A36" s="281"/>
      <x:c r="B36" s="281"/>
      <x:c r="C36" s="281"/>
      <x:c r="D36" s="281"/>
      <x:c r="E36" s="281"/>
      <x:c r="F36" s="281"/>
      <x:c r="G36" s="281"/>
      <x:c r="H36" s="281"/>
      <x:c r="I36" s="281"/>
      <x:c r="J36" s="281"/>
      <x:c r="K36" s="281"/>
      <x:c r="L36" s="281"/>
      <x:c r="M36" s="281"/>
      <x:c r="N36" s="281"/>
      <x:c r="O36" s="281"/>
      <x:c r="P36" s="281"/>
      <x:c r="Q36" s="281"/>
      <x:c r="R36" s="281"/>
      <x:c r="S36" s="281"/>
      <x:c r="T36" s="281"/>
      <x:c r="U36" s="281"/>
      <x:c r="V36" s="281"/>
      <x:c r="W36" s="281"/>
      <x:c r="X36" s="281"/>
      <x:c r="Y36" s="281"/>
      <x:c r="Z36" s="281"/>
      <x:c r="AA36" s="281"/>
      <x:c r="AB36" s="281"/>
      <x:c r="AC36" s="281"/>
      <x:c r="AD36" s="281"/>
      <x:c r="AE36" s="281"/>
      <x:c r="AF36" s="281"/>
      <x:c r="AG36" s="281"/>
      <x:c r="AH36" s="281"/>
      <x:c r="AI36" s="281"/>
      <x:c r="AJ36" s="281"/>
      <x:c r="AK36" s="281"/>
      <x:c r="AL36" s="281"/>
      <x:c r="AM36" s="281"/>
      <x:c r="AN36" s="281"/>
    </x:row>
    <x:row r="37">
      <x:c r="A37" s="281"/>
      <x:c r="B37" s="281"/>
      <x:c r="C37" s="281"/>
      <x:c r="D37" s="281"/>
      <x:c r="E37" s="281"/>
      <x:c r="F37" s="281"/>
      <x:c r="G37" s="281"/>
      <x:c r="H37" s="281"/>
      <x:c r="I37" s="281"/>
      <x:c r="J37" s="281"/>
      <x:c r="K37" s="281"/>
      <x:c r="L37" s="281"/>
      <x:c r="M37" s="281"/>
      <x:c r="N37" s="281"/>
      <x:c r="O37" s="281"/>
      <x:c r="P37" s="281"/>
      <x:c r="Q37" s="281"/>
      <x:c r="R37" s="281"/>
      <x:c r="S37" s="281"/>
      <x:c r="T37" s="281"/>
      <x:c r="U37" s="281"/>
      <x:c r="V37" s="281"/>
      <x:c r="W37" s="281"/>
      <x:c r="X37" s="281"/>
      <x:c r="Y37" s="281"/>
      <x:c r="Z37" s="281"/>
      <x:c r="AA37" s="281"/>
      <x:c r="AB37" s="281"/>
      <x:c r="AC37" s="281"/>
      <x:c r="AD37" s="281"/>
      <x:c r="AE37" s="281"/>
      <x:c r="AF37" s="281"/>
      <x:c r="AG37" s="281"/>
      <x:c r="AH37" s="281"/>
      <x:c r="AI37" s="281"/>
      <x:c r="AJ37" s="281"/>
      <x:c r="AK37" s="281"/>
      <x:c r="AL37" s="281"/>
      <x:c r="AM37" s="281"/>
      <x:c r="AN37" s="281"/>
    </x:row>
    <x:row r="38">
      <x:c r="A38" s="281"/>
      <x:c r="B38" s="281"/>
      <x:c r="C38" s="281"/>
      <x:c r="D38" s="281"/>
      <x:c r="E38" s="281"/>
      <x:c r="F38" s="281"/>
      <x:c r="G38" s="281"/>
      <x:c r="H38" s="281"/>
      <x:c r="I38" s="281"/>
      <x:c r="J38" s="281"/>
      <x:c r="K38" s="281"/>
      <x:c r="L38" s="281"/>
      <x:c r="M38" s="281"/>
      <x:c r="N38" s="281"/>
      <x:c r="O38" s="281"/>
      <x:c r="P38" s="281"/>
      <x:c r="Q38" s="281"/>
      <x:c r="R38" s="281"/>
      <x:c r="S38" s="281"/>
      <x:c r="T38" s="281"/>
      <x:c r="U38" s="281"/>
      <x:c r="V38" s="281"/>
      <x:c r="W38" s="281"/>
      <x:c r="X38" s="281"/>
      <x:c r="Y38" s="281"/>
      <x:c r="Z38" s="281"/>
      <x:c r="AA38" s="281"/>
      <x:c r="AB38" s="281"/>
      <x:c r="AC38" s="281"/>
      <x:c r="AD38" s="281"/>
      <x:c r="AE38" s="281"/>
      <x:c r="AF38" s="281"/>
      <x:c r="AG38" s="281"/>
      <x:c r="AH38" s="281"/>
      <x:c r="AI38" s="281"/>
      <x:c r="AJ38" s="281"/>
      <x:c r="AK38" s="281"/>
      <x:c r="AL38" s="281"/>
      <x:c r="AM38" s="281"/>
      <x:c r="AN38" s="281"/>
    </x:row>
    <x:row r="39">
      <x:c r="A39" s="281"/>
      <x:c r="B39" s="281"/>
      <x:c r="C39" s="281"/>
      <x:c r="D39" s="281"/>
      <x:c r="E39" s="281"/>
      <x:c r="F39" s="281"/>
      <x:c r="G39" s="281"/>
      <x:c r="H39" s="281"/>
      <x:c r="I39" s="281"/>
      <x:c r="J39" s="281"/>
      <x:c r="K39" s="281"/>
      <x:c r="L39" s="281"/>
      <x:c r="M39" s="281"/>
      <x:c r="N39" s="281"/>
      <x:c r="O39" s="281"/>
      <x:c r="P39" s="281"/>
      <x:c r="Q39" s="281"/>
      <x:c r="R39" s="281"/>
      <x:c r="S39" s="281"/>
      <x:c r="T39" s="281"/>
      <x:c r="U39" s="281"/>
      <x:c r="V39" s="281"/>
      <x:c r="W39" s="281"/>
      <x:c r="X39" s="281"/>
      <x:c r="Y39" s="281"/>
      <x:c r="Z39" s="281"/>
      <x:c r="AA39" s="281"/>
      <x:c r="AB39" s="281"/>
      <x:c r="AC39" s="281"/>
      <x:c r="AD39" s="281"/>
      <x:c r="AE39" s="281"/>
      <x:c r="AF39" s="281"/>
      <x:c r="AG39" s="281"/>
      <x:c r="AH39" s="281"/>
      <x:c r="AI39" s="281"/>
      <x:c r="AJ39" s="281"/>
      <x:c r="AK39" s="281"/>
      <x:c r="AL39" s="281"/>
      <x:c r="AM39" s="281"/>
      <x:c r="AN39" s="281"/>
    </x:row>
    <x:row r="40">
      <x:c r="A40" s="281"/>
      <x:c r="B40" s="281"/>
      <x:c r="C40" s="281"/>
      <x:c r="D40" s="281"/>
      <x:c r="E40" s="281"/>
      <x:c r="F40" s="281"/>
      <x:c r="G40" s="281"/>
      <x:c r="H40" s="281"/>
      <x:c r="I40" s="281"/>
      <x:c r="J40" s="281"/>
      <x:c r="K40" s="281"/>
      <x:c r="L40" s="281"/>
      <x:c r="M40" s="281"/>
      <x:c r="N40" s="281"/>
      <x:c r="O40" s="281"/>
      <x:c r="P40" s="281"/>
      <x:c r="Q40" s="281"/>
      <x:c r="R40" s="281"/>
      <x:c r="S40" s="281"/>
      <x:c r="T40" s="281"/>
      <x:c r="U40" s="281"/>
      <x:c r="V40" s="281"/>
      <x:c r="W40" s="281"/>
      <x:c r="X40" s="281"/>
      <x:c r="Y40" s="281"/>
      <x:c r="Z40" s="281"/>
      <x:c r="AA40" s="281"/>
      <x:c r="AB40" s="281"/>
      <x:c r="AC40" s="281"/>
      <x:c r="AD40" s="281"/>
      <x:c r="AE40" s="281"/>
      <x:c r="AF40" s="281"/>
      <x:c r="AG40" s="281"/>
      <x:c r="AH40" s="281"/>
      <x:c r="AI40" s="281"/>
      <x:c r="AJ40" s="281"/>
      <x:c r="AK40" s="281"/>
      <x:c r="AL40" s="281"/>
      <x:c r="AM40" s="281"/>
      <x:c r="AN40" s="281"/>
    </x:row>
    <x:row r="41">
      <x:c r="A41" s="281"/>
      <x:c r="B41" s="281"/>
      <x:c r="C41" s="281"/>
      <x:c r="D41" s="281"/>
      <x:c r="E41" s="281"/>
      <x:c r="F41" s="281"/>
      <x:c r="G41" s="281"/>
      <x:c r="H41" s="281"/>
      <x:c r="I41" s="281"/>
      <x:c r="J41" s="281"/>
      <x:c r="K41" s="281"/>
      <x:c r="L41" s="281"/>
      <x:c r="M41" s="281"/>
      <x:c r="N41" s="281"/>
      <x:c r="O41" s="281"/>
      <x:c r="P41" s="281"/>
      <x:c r="Q41" s="281"/>
      <x:c r="R41" s="281"/>
      <x:c r="S41" s="281"/>
      <x:c r="T41" s="281"/>
      <x:c r="U41" s="281"/>
      <x:c r="V41" s="281"/>
      <x:c r="W41" s="281"/>
      <x:c r="X41" s="281"/>
      <x:c r="Y41" s="281"/>
      <x:c r="Z41" s="281"/>
      <x:c r="AA41" s="281"/>
      <x:c r="AB41" s="281"/>
      <x:c r="AC41" s="281"/>
      <x:c r="AD41" s="281"/>
      <x:c r="AE41" s="281"/>
      <x:c r="AF41" s="281"/>
      <x:c r="AG41" s="281"/>
      <x:c r="AH41" s="281"/>
      <x:c r="AI41" s="281"/>
      <x:c r="AJ41" s="281"/>
      <x:c r="AK41" s="281"/>
      <x:c r="AL41" s="281"/>
      <x:c r="AM41" s="281"/>
      <x:c r="AN41" s="281"/>
    </x:row>
    <x:row r="42">
      <x:c r="A42" s="281"/>
      <x:c r="B42" s="281"/>
      <x:c r="C42" s="281"/>
      <x:c r="D42" s="281"/>
      <x:c r="E42" s="281"/>
      <x:c r="F42" s="281"/>
      <x:c r="G42" s="281"/>
      <x:c r="H42" s="281"/>
      <x:c r="I42" s="281"/>
      <x:c r="J42" s="281"/>
      <x:c r="K42" s="281"/>
      <x:c r="L42" s="281"/>
      <x:c r="M42" s="281"/>
      <x:c r="N42" s="281"/>
      <x:c r="O42" s="281"/>
      <x:c r="P42" s="281"/>
      <x:c r="Q42" s="281"/>
      <x:c r="R42" s="281"/>
      <x:c r="S42" s="281"/>
      <x:c r="T42" s="281"/>
      <x:c r="U42" s="281"/>
      <x:c r="V42" s="281"/>
      <x:c r="W42" s="281"/>
      <x:c r="X42" s="281"/>
      <x:c r="Y42" s="281"/>
      <x:c r="Z42" s="281"/>
      <x:c r="AA42" s="281"/>
      <x:c r="AB42" s="281"/>
      <x:c r="AC42" s="281"/>
      <x:c r="AD42" s="281"/>
      <x:c r="AE42" s="281"/>
      <x:c r="AF42" s="281"/>
      <x:c r="AG42" s="281"/>
      <x:c r="AH42" s="281"/>
      <x:c r="AI42" s="281"/>
      <x:c r="AJ42" s="281"/>
      <x:c r="AK42" s="281"/>
      <x:c r="AL42" s="281"/>
      <x:c r="AM42" s="281"/>
      <x:c r="AN42" s="281"/>
    </x:row>
    <x:row r="43">
      <x:c r="A43" s="281"/>
      <x:c r="B43" s="281"/>
      <x:c r="C43" s="281"/>
      <x:c r="D43" s="281"/>
      <x:c r="E43" s="281"/>
      <x:c r="F43" s="281"/>
      <x:c r="G43" s="281"/>
      <x:c r="H43" s="281"/>
      <x:c r="I43" s="281"/>
      <x:c r="J43" s="281"/>
      <x:c r="K43" s="281"/>
      <x:c r="L43" s="281"/>
      <x:c r="M43" s="281"/>
      <x:c r="N43" s="281"/>
      <x:c r="O43" s="281"/>
      <x:c r="P43" s="281"/>
      <x:c r="Q43" s="281"/>
      <x:c r="R43" s="281"/>
      <x:c r="S43" s="281"/>
      <x:c r="T43" s="281"/>
      <x:c r="U43" s="281"/>
      <x:c r="V43" s="281"/>
      <x:c r="W43" s="281"/>
      <x:c r="X43" s="281"/>
      <x:c r="Y43" s="281"/>
      <x:c r="Z43" s="281"/>
      <x:c r="AA43" s="281"/>
      <x:c r="AB43" s="281"/>
      <x:c r="AC43" s="281"/>
      <x:c r="AD43" s="281"/>
      <x:c r="AE43" s="281"/>
      <x:c r="AF43" s="281"/>
      <x:c r="AG43" s="281"/>
      <x:c r="AH43" s="281"/>
      <x:c r="AI43" s="281"/>
      <x:c r="AJ43" s="281"/>
      <x:c r="AK43" s="281"/>
      <x:c r="AL43" s="281"/>
      <x:c r="AM43" s="281"/>
      <x:c r="AN43" s="281"/>
    </x:row>
    <x:row r="44">
      <x:c r="A44" s="281"/>
      <x:c r="B44" s="281"/>
      <x:c r="C44" s="281"/>
      <x:c r="D44" s="281"/>
      <x:c r="E44" s="281"/>
      <x:c r="F44" s="281"/>
      <x:c r="G44" s="281"/>
      <x:c r="H44" s="281"/>
      <x:c r="I44" s="281"/>
      <x:c r="J44" s="281"/>
      <x:c r="K44" s="281"/>
      <x:c r="L44" s="281"/>
      <x:c r="M44" s="281"/>
      <x:c r="N44" s="281"/>
      <x:c r="O44" s="281"/>
      <x:c r="P44" s="281"/>
      <x:c r="Q44" s="281"/>
      <x:c r="R44" s="281"/>
      <x:c r="S44" s="281"/>
      <x:c r="T44" s="281"/>
      <x:c r="U44" s="281"/>
      <x:c r="V44" s="281"/>
      <x:c r="W44" s="281"/>
      <x:c r="X44" s="281"/>
      <x:c r="Y44" s="281"/>
      <x:c r="Z44" s="281"/>
      <x:c r="AA44" s="281"/>
      <x:c r="AB44" s="281"/>
      <x:c r="AC44" s="281"/>
      <x:c r="AD44" s="281"/>
      <x:c r="AE44" s="281"/>
      <x:c r="AF44" s="281"/>
      <x:c r="AG44" s="281"/>
      <x:c r="AH44" s="281"/>
      <x:c r="AI44" s="281"/>
      <x:c r="AJ44" s="281"/>
      <x:c r="AK44" s="281"/>
      <x:c r="AL44" s="281"/>
      <x:c r="AM44" s="281"/>
      <x:c r="AN44" s="281"/>
    </x:row>
    <x:row r="45">
      <x:c r="A45" s="281"/>
      <x:c r="B45" s="281"/>
      <x:c r="C45" s="281"/>
      <x:c r="D45" s="281"/>
      <x:c r="E45" s="281"/>
      <x:c r="F45" s="281"/>
      <x:c r="G45" s="281"/>
      <x:c r="H45" s="281"/>
      <x:c r="I45" s="281"/>
      <x:c r="J45" s="281"/>
      <x:c r="K45" s="281"/>
      <x:c r="L45" s="281"/>
      <x:c r="M45" s="281"/>
      <x:c r="N45" s="281"/>
      <x:c r="O45" s="281"/>
      <x:c r="P45" s="281"/>
      <x:c r="Q45" s="281"/>
      <x:c r="R45" s="281"/>
      <x:c r="S45" s="281"/>
      <x:c r="T45" s="281"/>
      <x:c r="U45" s="281"/>
      <x:c r="V45" s="281"/>
      <x:c r="W45" s="281"/>
      <x:c r="X45" s="281"/>
      <x:c r="Y45" s="281"/>
      <x:c r="Z45" s="281"/>
      <x:c r="AA45" s="281"/>
      <x:c r="AB45" s="281"/>
      <x:c r="AC45" s="281"/>
      <x:c r="AD45" s="281"/>
      <x:c r="AE45" s="281"/>
      <x:c r="AF45" s="281"/>
      <x:c r="AG45" s="281"/>
      <x:c r="AH45" s="281"/>
      <x:c r="AI45" s="281"/>
      <x:c r="AJ45" s="281"/>
      <x:c r="AK45" s="281"/>
      <x:c r="AL45" s="281"/>
      <x:c r="AM45" s="281"/>
      <x:c r="AN45" s="281"/>
    </x:row>
    <x:row r="46">
      <x:c r="A46" s="281"/>
      <x:c r="B46" s="281"/>
      <x:c r="C46" s="281"/>
      <x:c r="D46" s="281"/>
      <x:c r="E46" s="281"/>
      <x:c r="F46" s="281"/>
      <x:c r="G46" s="281"/>
      <x:c r="H46" s="281"/>
      <x:c r="I46" s="281"/>
      <x:c r="J46" s="281"/>
      <x:c r="K46" s="281"/>
      <x:c r="L46" s="281"/>
      <x:c r="M46" s="281"/>
      <x:c r="N46" s="281"/>
      <x:c r="O46" s="281"/>
      <x:c r="P46" s="281"/>
      <x:c r="Q46" s="281"/>
      <x:c r="R46" s="281"/>
      <x:c r="S46" s="281"/>
      <x:c r="T46" s="281"/>
      <x:c r="U46" s="281"/>
      <x:c r="V46" s="281"/>
      <x:c r="W46" s="281"/>
      <x:c r="X46" s="281"/>
      <x:c r="Y46" s="281"/>
      <x:c r="Z46" s="281"/>
      <x:c r="AA46" s="281"/>
      <x:c r="AB46" s="281"/>
      <x:c r="AC46" s="281"/>
      <x:c r="AD46" s="281"/>
      <x:c r="AE46" s="281"/>
      <x:c r="AF46" s="281"/>
      <x:c r="AG46" s="281"/>
      <x:c r="AH46" s="281"/>
      <x:c r="AI46" s="281"/>
      <x:c r="AJ46" s="281"/>
      <x:c r="AK46" s="281"/>
      <x:c r="AL46" s="281"/>
      <x:c r="AM46" s="281"/>
      <x:c r="AN46" s="281"/>
    </x:row>
    <x:row r="47">
      <x:c r="A47" s="281"/>
      <x:c r="B47" s="281"/>
      <x:c r="C47" s="281"/>
      <x:c r="D47" s="281"/>
      <x:c r="E47" s="281"/>
      <x:c r="F47" s="281"/>
      <x:c r="G47" s="281"/>
      <x:c r="H47" s="281"/>
      <x:c r="I47" s="281"/>
      <x:c r="J47" s="281"/>
      <x:c r="K47" s="281"/>
      <x:c r="L47" s="281"/>
      <x:c r="M47" s="281"/>
      <x:c r="N47" s="281"/>
      <x:c r="O47" s="281"/>
      <x:c r="P47" s="281"/>
      <x:c r="Q47" s="281"/>
      <x:c r="R47" s="281"/>
      <x:c r="S47" s="281"/>
      <x:c r="T47" s="281"/>
      <x:c r="U47" s="281"/>
      <x:c r="V47" s="281"/>
      <x:c r="W47" s="281"/>
      <x:c r="X47" s="281"/>
      <x:c r="Y47" s="281"/>
      <x:c r="Z47" s="281"/>
      <x:c r="AA47" s="281"/>
      <x:c r="AB47" s="281"/>
      <x:c r="AC47" s="281"/>
      <x:c r="AD47" s="281"/>
      <x:c r="AE47" s="281"/>
      <x:c r="AF47" s="281"/>
      <x:c r="AG47" s="281"/>
      <x:c r="AH47" s="281"/>
      <x:c r="AI47" s="281"/>
      <x:c r="AJ47" s="281"/>
      <x:c r="AK47" s="281"/>
      <x:c r="AL47" s="281"/>
      <x:c r="AM47" s="281"/>
      <x:c r="AN47" s="281"/>
    </x:row>
    <x:row r="48">
      <x:c r="A48" s="281"/>
      <x:c r="B48" s="281"/>
      <x:c r="C48" s="281"/>
      <x:c r="D48" s="281"/>
      <x:c r="E48" s="281"/>
      <x:c r="F48" s="281"/>
      <x:c r="G48" s="281"/>
      <x:c r="H48" s="281"/>
      <x:c r="I48" s="281"/>
      <x:c r="J48" s="281"/>
      <x:c r="K48" s="281"/>
      <x:c r="L48" s="281"/>
      <x:c r="M48" s="281"/>
      <x:c r="N48" s="281"/>
      <x:c r="O48" s="281"/>
      <x:c r="P48" s="281"/>
      <x:c r="Q48" s="281"/>
      <x:c r="R48" s="281"/>
      <x:c r="S48" s="281"/>
      <x:c r="T48" s="281"/>
      <x:c r="U48" s="281"/>
      <x:c r="V48" s="281"/>
      <x:c r="W48" s="281"/>
      <x:c r="X48" s="281"/>
      <x:c r="Y48" s="281"/>
      <x:c r="Z48" s="281"/>
      <x:c r="AA48" s="281"/>
      <x:c r="AB48" s="281"/>
      <x:c r="AC48" s="281"/>
      <x:c r="AD48" s="281"/>
      <x:c r="AE48" s="281"/>
      <x:c r="AF48" s="281"/>
      <x:c r="AG48" s="281"/>
      <x:c r="AH48" s="281"/>
      <x:c r="AI48" s="281"/>
      <x:c r="AJ48" s="281"/>
      <x:c r="AK48" s="281"/>
      <x:c r="AL48" s="281"/>
      <x:c r="AM48" s="281"/>
      <x:c r="AN48" s="281"/>
    </x:row>
    <x:row r="49">
      <x:c r="A49" s="281"/>
      <x:c r="B49" s="281"/>
      <x:c r="C49" s="281"/>
      <x:c r="D49" s="281"/>
      <x:c r="E49" s="281"/>
      <x:c r="F49" s="281"/>
      <x:c r="G49" s="281"/>
      <x:c r="H49" s="281"/>
      <x:c r="I49" s="281"/>
      <x:c r="J49" s="281"/>
      <x:c r="K49" s="281"/>
      <x:c r="L49" s="281"/>
      <x:c r="M49" s="281"/>
      <x:c r="N49" s="281"/>
      <x:c r="O49" s="281"/>
      <x:c r="P49" s="281"/>
      <x:c r="Q49" s="281"/>
      <x:c r="R49" s="281"/>
      <x:c r="S49" s="281"/>
      <x:c r="T49" s="281"/>
      <x:c r="U49" s="281"/>
      <x:c r="V49" s="281"/>
      <x:c r="W49" s="281"/>
      <x:c r="X49" s="281"/>
      <x:c r="Y49" s="281"/>
      <x:c r="Z49" s="281"/>
      <x:c r="AA49" s="281"/>
      <x:c r="AB49" s="281"/>
      <x:c r="AC49" s="281"/>
      <x:c r="AD49" s="281"/>
      <x:c r="AE49" s="281"/>
      <x:c r="AF49" s="281"/>
      <x:c r="AG49" s="281"/>
      <x:c r="AH49" s="281"/>
      <x:c r="AI49" s="281"/>
      <x:c r="AJ49" s="281"/>
      <x:c r="AK49" s="281"/>
      <x:c r="AL49" s="281"/>
      <x:c r="AM49" s="281"/>
      <x:c r="AN49" s="281"/>
    </x:row>
    <x:row r="50">
      <x:c r="A50" s="281"/>
      <x:c r="B50" s="281"/>
      <x:c r="C50" s="281"/>
      <x:c r="D50" s="281"/>
      <x:c r="E50" s="281"/>
      <x:c r="F50" s="281"/>
      <x:c r="G50" s="281"/>
      <x:c r="H50" s="281"/>
      <x:c r="I50" s="281"/>
      <x:c r="J50" s="281"/>
      <x:c r="K50" s="281"/>
      <x:c r="L50" s="281"/>
      <x:c r="M50" s="281"/>
      <x:c r="N50" s="281"/>
      <x:c r="O50" s="281"/>
      <x:c r="P50" s="281"/>
      <x:c r="Q50" s="281"/>
      <x:c r="R50" s="281"/>
      <x:c r="S50" s="281"/>
      <x:c r="T50" s="281"/>
      <x:c r="U50" s="281"/>
      <x:c r="V50" s="281"/>
      <x:c r="W50" s="281"/>
      <x:c r="X50" s="281"/>
      <x:c r="Y50" s="281"/>
      <x:c r="Z50" s="281"/>
      <x:c r="AA50" s="281"/>
      <x:c r="AB50" s="281"/>
      <x:c r="AC50" s="281"/>
      <x:c r="AD50" s="281"/>
      <x:c r="AE50" s="281"/>
      <x:c r="AF50" s="281"/>
      <x:c r="AG50" s="281"/>
      <x:c r="AH50" s="281"/>
      <x:c r="AI50" s="281"/>
      <x:c r="AJ50" s="281"/>
      <x:c r="AK50" s="281"/>
      <x:c r="AL50" s="281"/>
      <x:c r="AM50" s="281"/>
      <x:c r="AN50" s="281"/>
    </x:row>
    <x:row r="51">
      <x:c r="A51" s="281"/>
      <x:c r="B51" s="281"/>
      <x:c r="C51" s="281"/>
      <x:c r="D51" s="281"/>
      <x:c r="E51" s="281"/>
      <x:c r="F51" s="281"/>
      <x:c r="G51" s="281"/>
      <x:c r="H51" s="281"/>
      <x:c r="I51" s="281"/>
      <x:c r="J51" s="281"/>
      <x:c r="K51" s="281"/>
      <x:c r="L51" s="281"/>
      <x:c r="M51" s="281"/>
      <x:c r="N51" s="281"/>
      <x:c r="O51" s="281"/>
      <x:c r="P51" s="281"/>
      <x:c r="Q51" s="281"/>
      <x:c r="R51" s="281"/>
      <x:c r="S51" s="281"/>
      <x:c r="T51" s="281"/>
      <x:c r="U51" s="281"/>
      <x:c r="V51" s="281"/>
      <x:c r="W51" s="281"/>
      <x:c r="X51" s="281"/>
      <x:c r="Y51" s="281"/>
      <x:c r="Z51" s="281"/>
      <x:c r="AA51" s="281"/>
      <x:c r="AB51" s="281"/>
      <x:c r="AC51" s="281"/>
      <x:c r="AD51" s="281"/>
      <x:c r="AE51" s="281"/>
      <x:c r="AF51" s="281"/>
      <x:c r="AG51" s="281"/>
      <x:c r="AH51" s="281"/>
      <x:c r="AI51" s="281"/>
      <x:c r="AJ51" s="281"/>
      <x:c r="AK51" s="281"/>
      <x:c r="AL51" s="281"/>
      <x:c r="AM51" s="281"/>
      <x:c r="AN51" s="281"/>
    </x:row>
    <x:row r="52">
      <x:c r="A52" s="281"/>
      <x:c r="B52" s="281"/>
      <x:c r="C52" s="281"/>
      <x:c r="D52" s="281"/>
      <x:c r="E52" s="281"/>
      <x:c r="F52" s="281"/>
      <x:c r="G52" s="281"/>
      <x:c r="H52" s="281"/>
      <x:c r="I52" s="281"/>
      <x:c r="J52" s="281"/>
      <x:c r="K52" s="281"/>
      <x:c r="L52" s="281"/>
      <x:c r="M52" s="281"/>
      <x:c r="N52" s="281"/>
      <x:c r="O52" s="281"/>
      <x:c r="P52" s="281"/>
      <x:c r="Q52" s="281"/>
      <x:c r="R52" s="281"/>
      <x:c r="S52" s="281"/>
      <x:c r="T52" s="281"/>
      <x:c r="U52" s="281"/>
      <x:c r="V52" s="281"/>
      <x:c r="W52" s="281"/>
      <x:c r="X52" s="281"/>
      <x:c r="Y52" s="281"/>
      <x:c r="Z52" s="281"/>
      <x:c r="AA52" s="281"/>
      <x:c r="AB52" s="281"/>
      <x:c r="AC52" s="281"/>
      <x:c r="AD52" s="281"/>
      <x:c r="AE52" s="281"/>
      <x:c r="AF52" s="281"/>
      <x:c r="AG52" s="281"/>
      <x:c r="AH52" s="281"/>
      <x:c r="AI52" s="281"/>
      <x:c r="AJ52" s="281"/>
      <x:c r="AK52" s="281"/>
      <x:c r="AL52" s="281"/>
      <x:c r="AM52" s="281"/>
      <x:c r="AN52" s="281"/>
    </x:row>
    <x:row r="53">
      <x:c r="A53" s="281"/>
      <x:c r="B53" s="281"/>
      <x:c r="C53" s="281"/>
      <x:c r="D53" s="281"/>
      <x:c r="E53" s="281"/>
      <x:c r="F53" s="281"/>
      <x:c r="G53" s="281"/>
      <x:c r="H53" s="281"/>
      <x:c r="I53" s="281"/>
      <x:c r="J53" s="281"/>
      <x:c r="K53" s="281"/>
      <x:c r="L53" s="281"/>
      <x:c r="M53" s="281"/>
      <x:c r="N53" s="281"/>
      <x:c r="O53" s="281"/>
      <x:c r="P53" s="281"/>
      <x:c r="Q53" s="281"/>
      <x:c r="R53" s="281"/>
      <x:c r="S53" s="281"/>
      <x:c r="T53" s="281"/>
      <x:c r="U53" s="281"/>
      <x:c r="V53" s="281"/>
      <x:c r="W53" s="281"/>
      <x:c r="X53" s="281"/>
      <x:c r="Y53" s="281"/>
      <x:c r="Z53" s="281"/>
      <x:c r="AA53" s="281"/>
      <x:c r="AB53" s="281"/>
      <x:c r="AC53" s="281"/>
      <x:c r="AD53" s="281"/>
      <x:c r="AE53" s="281"/>
      <x:c r="AF53" s="281"/>
      <x:c r="AG53" s="281"/>
      <x:c r="AH53" s="281"/>
      <x:c r="AI53" s="281"/>
      <x:c r="AJ53" s="281"/>
      <x:c r="AK53" s="281"/>
      <x:c r="AL53" s="281"/>
      <x:c r="AM53" s="281"/>
      <x:c r="AN53" s="281"/>
    </x:row>
    <x:row r="54">
      <x:c r="A54" s="281"/>
      <x:c r="B54" s="281"/>
      <x:c r="C54" s="281"/>
      <x:c r="D54" s="281"/>
      <x:c r="E54" s="281"/>
      <x:c r="F54" s="281"/>
      <x:c r="G54" s="281"/>
      <x:c r="H54" s="281"/>
      <x:c r="I54" s="281"/>
      <x:c r="J54" s="281"/>
      <x:c r="K54" s="281"/>
      <x:c r="L54" s="281"/>
      <x:c r="M54" s="281"/>
      <x:c r="N54" s="281"/>
      <x:c r="O54" s="281"/>
      <x:c r="P54" s="281"/>
      <x:c r="Q54" s="281"/>
      <x:c r="R54" s="281"/>
      <x:c r="S54" s="281"/>
      <x:c r="T54" s="281"/>
      <x:c r="U54" s="281"/>
      <x:c r="V54" s="281"/>
      <x:c r="W54" s="281"/>
      <x:c r="X54" s="281"/>
      <x:c r="Y54" s="281"/>
      <x:c r="Z54" s="281"/>
      <x:c r="AA54" s="281"/>
      <x:c r="AB54" s="281"/>
      <x:c r="AC54" s="281"/>
      <x:c r="AD54" s="281"/>
      <x:c r="AE54" s="281"/>
      <x:c r="AF54" s="281"/>
      <x:c r="AG54" s="281"/>
      <x:c r="AH54" s="281"/>
      <x:c r="AI54" s="281"/>
      <x:c r="AJ54" s="281"/>
      <x:c r="AK54" s="281"/>
      <x:c r="AL54" s="281"/>
      <x:c r="AM54" s="281"/>
      <x:c r="AN54" s="281"/>
    </x:row>
    <x:row r="55">
      <x:c r="A55" s="281"/>
      <x:c r="B55" s="281"/>
      <x:c r="C55" s="281"/>
      <x:c r="D55" s="281"/>
      <x:c r="E55" s="281"/>
      <x:c r="F55" s="281"/>
      <x:c r="G55" s="281"/>
      <x:c r="H55" s="281"/>
      <x:c r="I55" s="281"/>
      <x:c r="J55" s="281"/>
      <x:c r="K55" s="281"/>
      <x:c r="L55" s="281"/>
      <x:c r="M55" s="281"/>
      <x:c r="N55" s="281"/>
      <x:c r="O55" s="281"/>
      <x:c r="P55" s="281"/>
      <x:c r="Q55" s="281"/>
      <x:c r="R55" s="281"/>
      <x:c r="S55" s="281"/>
      <x:c r="T55" s="281"/>
      <x:c r="U55" s="281"/>
      <x:c r="V55" s="281"/>
      <x:c r="W55" s="281"/>
      <x:c r="X55" s="281"/>
      <x:c r="Y55" s="281"/>
      <x:c r="Z55" s="281"/>
      <x:c r="AA55" s="281"/>
      <x:c r="AB55" s="281"/>
      <x:c r="AC55" s="281"/>
      <x:c r="AD55" s="281"/>
      <x:c r="AE55" s="281"/>
      <x:c r="AF55" s="281"/>
      <x:c r="AG55" s="281"/>
      <x:c r="AH55" s="281"/>
      <x:c r="AI55" s="281"/>
      <x:c r="AJ55" s="281"/>
      <x:c r="AK55" s="281"/>
      <x:c r="AL55" s="281"/>
      <x:c r="AM55" s="281"/>
      <x:c r="AN55" s="281"/>
    </x:row>
    <x:row r="56">
      <x:c r="A56" s="281"/>
      <x:c r="B56" s="281"/>
      <x:c r="C56" s="281"/>
      <x:c r="D56" s="281"/>
      <x:c r="E56" s="281"/>
      <x:c r="F56" s="281"/>
      <x:c r="G56" s="281"/>
      <x:c r="H56" s="281"/>
      <x:c r="I56" s="281"/>
      <x:c r="J56" s="281"/>
      <x:c r="K56" s="281"/>
      <x:c r="L56" s="281"/>
      <x:c r="M56" s="281"/>
      <x:c r="N56" s="281"/>
      <x:c r="O56" s="281"/>
      <x:c r="P56" s="281"/>
      <x:c r="Q56" s="281"/>
      <x:c r="R56" s="281"/>
      <x:c r="S56" s="281"/>
      <x:c r="T56" s="281"/>
      <x:c r="U56" s="281"/>
      <x:c r="V56" s="281"/>
      <x:c r="W56" s="281"/>
      <x:c r="X56" s="281"/>
      <x:c r="Y56" s="281"/>
      <x:c r="Z56" s="281"/>
      <x:c r="AA56" s="281"/>
      <x:c r="AB56" s="281"/>
      <x:c r="AC56" s="281"/>
      <x:c r="AD56" s="281"/>
      <x:c r="AE56" s="281"/>
      <x:c r="AF56" s="281"/>
      <x:c r="AG56" s="281"/>
      <x:c r="AH56" s="281"/>
      <x:c r="AI56" s="281"/>
      <x:c r="AJ56" s="281"/>
      <x:c r="AK56" s="281"/>
      <x:c r="AL56" s="281"/>
      <x:c r="AM56" s="281"/>
      <x:c r="AN56" s="281"/>
    </x:row>
    <x:row r="57">
      <x:c r="A57" s="281"/>
      <x:c r="B57" s="281"/>
      <x:c r="C57" s="281"/>
      <x:c r="D57" s="281"/>
      <x:c r="E57" s="281"/>
      <x:c r="F57" s="281"/>
      <x:c r="G57" s="281"/>
      <x:c r="H57" s="281"/>
      <x:c r="I57" s="281"/>
      <x:c r="J57" s="281"/>
      <x:c r="K57" s="281"/>
      <x:c r="L57" s="281"/>
      <x:c r="M57" s="281"/>
      <x:c r="N57" s="281"/>
      <x:c r="O57" s="281"/>
      <x:c r="P57" s="281"/>
      <x:c r="Q57" s="281"/>
      <x:c r="R57" s="281"/>
      <x:c r="S57" s="281"/>
      <x:c r="T57" s="281"/>
      <x:c r="U57" s="281"/>
      <x:c r="V57" s="281"/>
      <x:c r="W57" s="281"/>
      <x:c r="X57" s="281"/>
      <x:c r="Y57" s="281"/>
      <x:c r="Z57" s="281"/>
      <x:c r="AA57" s="281"/>
      <x:c r="AB57" s="281"/>
      <x:c r="AC57" s="281"/>
      <x:c r="AD57" s="281"/>
      <x:c r="AE57" s="281"/>
      <x:c r="AF57" s="281"/>
      <x:c r="AG57" s="281"/>
      <x:c r="AH57" s="281"/>
      <x:c r="AI57" s="281"/>
      <x:c r="AJ57" s="281"/>
      <x:c r="AK57" s="281"/>
      <x:c r="AL57" s="281"/>
      <x:c r="AM57" s="281"/>
      <x:c r="AN57" s="281"/>
    </x:row>
    <x:row r="58">
      <x:c r="A58" s="281"/>
      <x:c r="B58" s="281"/>
      <x:c r="C58" s="281"/>
      <x:c r="D58" s="281"/>
      <x:c r="E58" s="281"/>
      <x:c r="F58" s="281"/>
      <x:c r="G58" s="281"/>
      <x:c r="H58" s="281"/>
      <x:c r="I58" s="281"/>
      <x:c r="J58" s="281"/>
      <x:c r="K58" s="281"/>
      <x:c r="L58" s="281"/>
      <x:c r="M58" s="281"/>
      <x:c r="N58" s="281"/>
      <x:c r="O58" s="281"/>
      <x:c r="P58" s="281"/>
      <x:c r="Q58" s="281"/>
      <x:c r="R58" s="281"/>
      <x:c r="S58" s="281"/>
      <x:c r="T58" s="281"/>
      <x:c r="U58" s="281"/>
      <x:c r="V58" s="281"/>
      <x:c r="W58" s="281"/>
      <x:c r="X58" s="281"/>
      <x:c r="Y58" s="281"/>
      <x:c r="Z58" s="281"/>
      <x:c r="AA58" s="281"/>
      <x:c r="AB58" s="281"/>
      <x:c r="AC58" s="281"/>
      <x:c r="AD58" s="281"/>
      <x:c r="AE58" s="281"/>
      <x:c r="AF58" s="281"/>
      <x:c r="AG58" s="281"/>
      <x:c r="AH58" s="281"/>
      <x:c r="AI58" s="281"/>
      <x:c r="AJ58" s="281"/>
      <x:c r="AK58" s="281"/>
      <x:c r="AL58" s="281"/>
      <x:c r="AM58" s="281"/>
      <x:c r="AN58" s="281"/>
    </x:row>
    <x:row r="59">
      <x:c r="A59" s="281"/>
      <x:c r="B59" s="281"/>
      <x:c r="C59" s="281"/>
      <x:c r="D59" s="281"/>
      <x:c r="E59" s="281"/>
      <x:c r="F59" s="281"/>
      <x:c r="G59" s="281"/>
      <x:c r="H59" s="281"/>
      <x:c r="I59" s="281"/>
      <x:c r="J59" s="281"/>
      <x:c r="K59" s="281"/>
      <x:c r="L59" s="281"/>
      <x:c r="M59" s="281"/>
      <x:c r="N59" s="281"/>
      <x:c r="O59" s="281"/>
      <x:c r="P59" s="281"/>
      <x:c r="Q59" s="281"/>
      <x:c r="R59" s="281"/>
      <x:c r="S59" s="281"/>
      <x:c r="T59" s="281"/>
      <x:c r="U59" s="281"/>
      <x:c r="V59" s="281"/>
      <x:c r="W59" s="281"/>
      <x:c r="X59" s="281"/>
      <x:c r="Y59" s="281"/>
      <x:c r="Z59" s="281"/>
      <x:c r="AA59" s="281"/>
      <x:c r="AB59" s="281"/>
      <x:c r="AC59" s="281"/>
      <x:c r="AD59" s="281"/>
      <x:c r="AE59" s="281"/>
      <x:c r="AF59" s="281"/>
      <x:c r="AG59" s="281"/>
      <x:c r="AH59" s="281"/>
      <x:c r="AI59" s="281"/>
      <x:c r="AJ59" s="281"/>
      <x:c r="AK59" s="281"/>
      <x:c r="AL59" s="281"/>
      <x:c r="AM59" s="281"/>
      <x:c r="AN59" s="281"/>
    </x:row>
    <x:row r="60">
      <x:c r="A60" s="281"/>
      <x:c r="B60" s="281"/>
      <x:c r="C60" s="281"/>
      <x:c r="D60" s="281"/>
      <x:c r="E60" s="281"/>
      <x:c r="F60" s="281"/>
      <x:c r="G60" s="281"/>
      <x:c r="H60" s="281"/>
      <x:c r="I60" s="281"/>
      <x:c r="J60" s="281"/>
      <x:c r="K60" s="281"/>
      <x:c r="L60" s="281"/>
      <x:c r="M60" s="281"/>
      <x:c r="N60" s="281"/>
      <x:c r="O60" s="281"/>
      <x:c r="P60" s="281"/>
      <x:c r="Q60" s="281"/>
      <x:c r="R60" s="281"/>
      <x:c r="S60" s="281"/>
      <x:c r="T60" s="281"/>
      <x:c r="U60" s="281"/>
      <x:c r="V60" s="281"/>
      <x:c r="W60" s="281"/>
      <x:c r="X60" s="281"/>
      <x:c r="Y60" s="281"/>
      <x:c r="Z60" s="281"/>
      <x:c r="AA60" s="281"/>
      <x:c r="AB60" s="281"/>
      <x:c r="AC60" s="281"/>
      <x:c r="AD60" s="281"/>
      <x:c r="AE60" s="281"/>
      <x:c r="AF60" s="281"/>
      <x:c r="AG60" s="281"/>
      <x:c r="AH60" s="281"/>
      <x:c r="AI60" s="281"/>
      <x:c r="AJ60" s="281"/>
      <x:c r="AK60" s="281"/>
      <x:c r="AL60" s="281"/>
      <x:c r="AM60" s="281"/>
      <x:c r="AN60" s="281"/>
    </x:row>
    <x:row r="61">
      <x:c r="A61" s="281"/>
      <x:c r="B61" s="281"/>
      <x:c r="C61" s="281"/>
      <x:c r="D61" s="281"/>
      <x:c r="E61" s="281"/>
      <x:c r="F61" s="281"/>
      <x:c r="G61" s="281"/>
      <x:c r="H61" s="281"/>
      <x:c r="I61" s="281"/>
      <x:c r="J61" s="281"/>
      <x:c r="K61" s="281"/>
      <x:c r="L61" s="281"/>
      <x:c r="M61" s="281"/>
      <x:c r="N61" s="281"/>
      <x:c r="O61" s="281"/>
      <x:c r="P61" s="281"/>
      <x:c r="Q61" s="281"/>
      <x:c r="R61" s="281"/>
      <x:c r="S61" s="281"/>
      <x:c r="T61" s="281"/>
      <x:c r="U61" s="281"/>
      <x:c r="V61" s="281"/>
      <x:c r="W61" s="281"/>
      <x:c r="X61" s="281"/>
      <x:c r="Y61" s="281"/>
      <x:c r="Z61" s="281"/>
      <x:c r="AA61" s="281"/>
      <x:c r="AB61" s="281"/>
      <x:c r="AC61" s="281"/>
      <x:c r="AD61" s="281"/>
      <x:c r="AE61" s="281"/>
      <x:c r="AF61" s="281"/>
      <x:c r="AG61" s="281"/>
      <x:c r="AH61" s="281"/>
      <x:c r="AI61" s="281"/>
      <x:c r="AJ61" s="281"/>
      <x:c r="AK61" s="281"/>
      <x:c r="AL61" s="281"/>
      <x:c r="AM61" s="281"/>
      <x:c r="AN61" s="281"/>
    </x:row>
    <x:row r="62">
      <x:c r="A62" s="281"/>
      <x:c r="B62" s="281"/>
      <x:c r="C62" s="281"/>
      <x:c r="D62" s="281"/>
      <x:c r="E62" s="281"/>
      <x:c r="F62" s="281"/>
      <x:c r="G62" s="281"/>
      <x:c r="H62" s="281"/>
      <x:c r="I62" s="281"/>
      <x:c r="J62" s="281"/>
      <x:c r="K62" s="281"/>
      <x:c r="L62" s="281"/>
      <x:c r="M62" s="281"/>
      <x:c r="N62" s="281"/>
      <x:c r="O62" s="281"/>
      <x:c r="P62" s="281"/>
      <x:c r="Q62" s="281"/>
      <x:c r="R62" s="281"/>
      <x:c r="S62" s="281"/>
      <x:c r="T62" s="281"/>
      <x:c r="U62" s="281"/>
      <x:c r="V62" s="281"/>
      <x:c r="W62" s="281"/>
      <x:c r="X62" s="281"/>
      <x:c r="Y62" s="281"/>
      <x:c r="Z62" s="281"/>
      <x:c r="AA62" s="281"/>
      <x:c r="AB62" s="281"/>
      <x:c r="AC62" s="281"/>
      <x:c r="AD62" s="281"/>
      <x:c r="AE62" s="281"/>
      <x:c r="AF62" s="281"/>
      <x:c r="AG62" s="281"/>
      <x:c r="AH62" s="281"/>
      <x:c r="AI62" s="281"/>
      <x:c r="AJ62" s="281"/>
      <x:c r="AK62" s="281"/>
      <x:c r="AL62" s="281"/>
      <x:c r="AM62" s="281"/>
      <x:c r="AN62" s="281"/>
    </x:row>
    <x:row r="63">
      <x:c r="A63" s="281"/>
      <x:c r="B63" s="281"/>
      <x:c r="C63" s="281"/>
      <x:c r="D63" s="281"/>
      <x:c r="E63" s="281"/>
      <x:c r="F63" s="281"/>
      <x:c r="G63" s="281"/>
      <x:c r="H63" s="281"/>
      <x:c r="I63" s="281"/>
      <x:c r="J63" s="281"/>
      <x:c r="K63" s="281"/>
      <x:c r="L63" s="281"/>
      <x:c r="M63" s="281"/>
      <x:c r="N63" s="281"/>
      <x:c r="O63" s="281"/>
      <x:c r="P63" s="281"/>
      <x:c r="Q63" s="281"/>
      <x:c r="R63" s="281"/>
      <x:c r="S63" s="281"/>
      <x:c r="T63" s="281"/>
      <x:c r="U63" s="281"/>
      <x:c r="V63" s="281"/>
      <x:c r="W63" s="281"/>
      <x:c r="X63" s="281"/>
      <x:c r="Y63" s="281"/>
      <x:c r="Z63" s="281"/>
      <x:c r="AA63" s="281"/>
      <x:c r="AB63" s="281"/>
      <x:c r="AC63" s="281"/>
      <x:c r="AD63" s="281"/>
      <x:c r="AE63" s="281"/>
      <x:c r="AF63" s="281"/>
      <x:c r="AG63" s="281"/>
      <x:c r="AH63" s="281"/>
      <x:c r="AI63" s="281"/>
      <x:c r="AJ63" s="281"/>
      <x:c r="AK63" s="281"/>
      <x:c r="AL63" s="281"/>
      <x:c r="AM63" s="281"/>
      <x:c r="AN63" s="281"/>
    </x:row>
    <x:row r="64">
      <x:c r="A64" s="281"/>
      <x:c r="B64" s="281"/>
      <x:c r="C64" s="281"/>
      <x:c r="D64" s="281"/>
      <x:c r="E64" s="281"/>
      <x:c r="F64" s="281"/>
      <x:c r="G64" s="281"/>
      <x:c r="H64" s="281"/>
      <x:c r="I64" s="281"/>
      <x:c r="J64" s="281"/>
      <x:c r="K64" s="281"/>
      <x:c r="L64" s="281"/>
      <x:c r="M64" s="281"/>
      <x:c r="N64" s="281"/>
      <x:c r="O64" s="281"/>
      <x:c r="P64" s="281"/>
      <x:c r="Q64" s="281"/>
      <x:c r="R64" s="281"/>
      <x:c r="S64" s="281"/>
      <x:c r="T64" s="281"/>
      <x:c r="U64" s="281"/>
      <x:c r="V64" s="281"/>
      <x:c r="W64" s="281"/>
      <x:c r="X64" s="281"/>
      <x:c r="Y64" s="281"/>
      <x:c r="Z64" s="281"/>
      <x:c r="AA64" s="281"/>
      <x:c r="AB64" s="281"/>
      <x:c r="AC64" s="281"/>
      <x:c r="AD64" s="281"/>
      <x:c r="AE64" s="281"/>
      <x:c r="AF64" s="281"/>
      <x:c r="AG64" s="281"/>
      <x:c r="AH64" s="281"/>
      <x:c r="AI64" s="281"/>
      <x:c r="AJ64" s="281"/>
      <x:c r="AK64" s="281"/>
      <x:c r="AL64" s="281"/>
      <x:c r="AM64" s="281"/>
      <x:c r="AN64" s="281"/>
    </x:row>
    <x:row r="65">
      <x:c r="A65" s="281"/>
      <x:c r="B65" s="281"/>
      <x:c r="C65" s="281"/>
      <x:c r="D65" s="281"/>
      <x:c r="E65" s="281"/>
      <x:c r="F65" s="281"/>
      <x:c r="G65" s="281"/>
      <x:c r="H65" s="281"/>
      <x:c r="I65" s="281"/>
      <x:c r="J65" s="281"/>
      <x:c r="K65" s="281"/>
      <x:c r="L65" s="281"/>
      <x:c r="M65" s="281"/>
      <x:c r="N65" s="281"/>
      <x:c r="O65" s="281"/>
      <x:c r="P65" s="281"/>
      <x:c r="Q65" s="281"/>
      <x:c r="R65" s="281"/>
      <x:c r="S65" s="281"/>
      <x:c r="T65" s="281"/>
      <x:c r="U65" s="281"/>
      <x:c r="V65" s="281"/>
      <x:c r="W65" s="281"/>
      <x:c r="X65" s="281"/>
      <x:c r="Y65" s="281"/>
      <x:c r="Z65" s="281"/>
      <x:c r="AA65" s="281"/>
      <x:c r="AB65" s="281"/>
      <x:c r="AC65" s="281"/>
      <x:c r="AD65" s="281"/>
      <x:c r="AE65" s="281"/>
      <x:c r="AF65" s="281"/>
      <x:c r="AG65" s="281"/>
      <x:c r="AH65" s="281"/>
      <x:c r="AI65" s="281"/>
      <x:c r="AJ65" s="281"/>
      <x:c r="AK65" s="281"/>
      <x:c r="AL65" s="281"/>
      <x:c r="AM65" s="281"/>
      <x:c r="AN65" s="281"/>
    </x:row>
    <x:row r="66">
      <x:c r="A66" s="281"/>
      <x:c r="B66" s="281"/>
      <x:c r="C66" s="281"/>
      <x:c r="D66" s="281"/>
      <x:c r="E66" s="281"/>
      <x:c r="F66" s="281"/>
      <x:c r="G66" s="281"/>
      <x:c r="H66" s="281"/>
      <x:c r="I66" s="281"/>
      <x:c r="J66" s="281"/>
      <x:c r="K66" s="281"/>
      <x:c r="L66" s="281"/>
      <x:c r="M66" s="281"/>
      <x:c r="N66" s="281"/>
      <x:c r="O66" s="281"/>
      <x:c r="P66" s="281"/>
      <x:c r="Q66" s="281"/>
      <x:c r="R66" s="281"/>
      <x:c r="S66" s="281"/>
      <x:c r="T66" s="281"/>
      <x:c r="U66" s="281"/>
      <x:c r="V66" s="281"/>
      <x:c r="W66" s="281"/>
      <x:c r="X66" s="281"/>
      <x:c r="Y66" s="281"/>
      <x:c r="Z66" s="281"/>
      <x:c r="AA66" s="281"/>
      <x:c r="AB66" s="281"/>
      <x:c r="AC66" s="281"/>
      <x:c r="AD66" s="281"/>
      <x:c r="AE66" s="281"/>
      <x:c r="AF66" s="281"/>
      <x:c r="AG66" s="281"/>
      <x:c r="AH66" s="281"/>
      <x:c r="AI66" s="281"/>
      <x:c r="AJ66" s="281"/>
      <x:c r="AK66" s="281"/>
      <x:c r="AL66" s="281"/>
      <x:c r="AM66" s="281"/>
      <x:c r="AN66" s="281"/>
    </x:row>
    <x:row r="67">
      <x:c r="A67" s="281"/>
      <x:c r="B67" s="281"/>
      <x:c r="C67" s="281"/>
      <x:c r="D67" s="281"/>
      <x:c r="E67" s="281"/>
      <x:c r="F67" s="281"/>
      <x:c r="G67" s="281"/>
      <x:c r="H67" s="281"/>
      <x:c r="I67" s="281"/>
      <x:c r="J67" s="281"/>
      <x:c r="K67" s="281"/>
      <x:c r="L67" s="281"/>
      <x:c r="M67" s="281"/>
      <x:c r="N67" s="281"/>
      <x:c r="O67" s="281"/>
      <x:c r="P67" s="281"/>
      <x:c r="Q67" s="281"/>
      <x:c r="R67" s="281"/>
      <x:c r="S67" s="281"/>
      <x:c r="T67" s="281"/>
      <x:c r="U67" s="281"/>
      <x:c r="V67" s="281"/>
      <x:c r="W67" s="281"/>
      <x:c r="X67" s="281"/>
      <x:c r="Y67" s="281"/>
      <x:c r="Z67" s="281"/>
      <x:c r="AA67" s="281"/>
      <x:c r="AB67" s="281"/>
      <x:c r="AC67" s="281"/>
      <x:c r="AD67" s="281"/>
      <x:c r="AE67" s="281"/>
      <x:c r="AF67" s="281"/>
      <x:c r="AG67" s="281"/>
      <x:c r="AH67" s="281"/>
      <x:c r="AI67" s="281"/>
      <x:c r="AJ67" s="281"/>
      <x:c r="AK67" s="281"/>
      <x:c r="AL67" s="281"/>
      <x:c r="AM67" s="281"/>
      <x:c r="AN67" s="281"/>
    </x:row>
    <x:row r="68">
      <x:c r="A68" s="281"/>
      <x:c r="B68" s="281"/>
      <x:c r="C68" s="281"/>
      <x:c r="D68" s="281"/>
      <x:c r="E68" s="281"/>
      <x:c r="F68" s="281"/>
      <x:c r="G68" s="281"/>
      <x:c r="H68" s="281"/>
      <x:c r="I68" s="281"/>
      <x:c r="J68" s="281"/>
      <x:c r="K68" s="281"/>
      <x:c r="L68" s="281"/>
      <x:c r="M68" s="281"/>
      <x:c r="N68" s="281"/>
      <x:c r="O68" s="281"/>
      <x:c r="P68" s="281"/>
      <x:c r="Q68" s="281"/>
      <x:c r="R68" s="281"/>
      <x:c r="S68" s="281"/>
      <x:c r="T68" s="281"/>
      <x:c r="U68" s="281"/>
      <x:c r="V68" s="281"/>
      <x:c r="W68" s="281"/>
      <x:c r="X68" s="281"/>
      <x:c r="Y68" s="281"/>
      <x:c r="Z68" s="281"/>
      <x:c r="AA68" s="281"/>
      <x:c r="AB68" s="281"/>
      <x:c r="AC68" s="281"/>
      <x:c r="AD68" s="281"/>
      <x:c r="AE68" s="281"/>
      <x:c r="AF68" s="281"/>
      <x:c r="AG68" s="281"/>
      <x:c r="AH68" s="281"/>
      <x:c r="AI68" s="281"/>
      <x:c r="AJ68" s="281"/>
      <x:c r="AK68" s="281"/>
      <x:c r="AL68" s="281"/>
      <x:c r="AM68" s="281"/>
      <x:c r="AN68" s="281"/>
    </x:row>
    <x:row r="69">
      <x:c r="A69" s="281"/>
      <x:c r="B69" s="281"/>
      <x:c r="C69" s="281"/>
      <x:c r="D69" s="281"/>
      <x:c r="E69" s="281"/>
      <x:c r="F69" s="281"/>
      <x:c r="G69" s="281"/>
      <x:c r="H69" s="281"/>
      <x:c r="I69" s="281"/>
      <x:c r="J69" s="281"/>
      <x:c r="K69" s="281"/>
      <x:c r="L69" s="281"/>
      <x:c r="M69" s="281"/>
      <x:c r="N69" s="281"/>
      <x:c r="O69" s="281"/>
      <x:c r="P69" s="281"/>
      <x:c r="Q69" s="281"/>
      <x:c r="R69" s="281"/>
      <x:c r="S69" s="281"/>
      <x:c r="T69" s="281"/>
      <x:c r="U69" s="281"/>
      <x:c r="V69" s="281"/>
      <x:c r="W69" s="281"/>
      <x:c r="X69" s="281"/>
      <x:c r="Y69" s="281"/>
      <x:c r="Z69" s="281"/>
      <x:c r="AA69" s="281"/>
      <x:c r="AB69" s="281"/>
      <x:c r="AC69" s="281"/>
      <x:c r="AD69" s="281"/>
      <x:c r="AE69" s="281"/>
      <x:c r="AF69" s="281"/>
      <x:c r="AG69" s="281"/>
      <x:c r="AH69" s="281"/>
      <x:c r="AI69" s="281"/>
      <x:c r="AJ69" s="281"/>
      <x:c r="AK69" s="281"/>
      <x:c r="AL69" s="281"/>
      <x:c r="AM69" s="281"/>
      <x:c r="AN69" s="281"/>
    </x:row>
    <x:row r="70">
      <x:c r="A70" s="281"/>
      <x:c r="B70" s="281"/>
      <x:c r="C70" s="281"/>
      <x:c r="D70" s="281"/>
      <x:c r="E70" s="281"/>
      <x:c r="F70" s="281"/>
      <x:c r="G70" s="281"/>
      <x:c r="H70" s="281"/>
      <x:c r="I70" s="281"/>
      <x:c r="J70" s="281"/>
      <x:c r="K70" s="281"/>
      <x:c r="L70" s="281"/>
      <x:c r="M70" s="281"/>
      <x:c r="N70" s="281"/>
      <x:c r="O70" s="281"/>
      <x:c r="P70" s="281"/>
      <x:c r="Q70" s="281"/>
      <x:c r="R70" s="281"/>
      <x:c r="S70" s="281"/>
      <x:c r="T70" s="281"/>
      <x:c r="U70" s="281"/>
      <x:c r="V70" s="281"/>
      <x:c r="W70" s="281"/>
      <x:c r="X70" s="281"/>
      <x:c r="Y70" s="281"/>
      <x:c r="Z70" s="281"/>
      <x:c r="AA70" s="281"/>
      <x:c r="AB70" s="281"/>
      <x:c r="AC70" s="281"/>
      <x:c r="AD70" s="281"/>
      <x:c r="AE70" s="281"/>
      <x:c r="AF70" s="281"/>
      <x:c r="AG70" s="281"/>
      <x:c r="AH70" s="281"/>
      <x:c r="AI70" s="281"/>
      <x:c r="AJ70" s="281"/>
      <x:c r="AK70" s="281"/>
      <x:c r="AL70" s="281"/>
      <x:c r="AM70" s="281"/>
      <x:c r="AN70" s="281"/>
    </x:row>
    <x:row r="71">
      <x:c r="A71" s="281"/>
      <x:c r="B71" s="281"/>
      <x:c r="C71" s="281"/>
      <x:c r="D71" s="281"/>
      <x:c r="E71" s="281"/>
      <x:c r="F71" s="281"/>
      <x:c r="G71" s="281"/>
      <x:c r="H71" s="281"/>
      <x:c r="I71" s="281"/>
      <x:c r="J71" s="281"/>
      <x:c r="K71" s="281"/>
      <x:c r="L71" s="281"/>
      <x:c r="M71" s="281"/>
      <x:c r="N71" s="281"/>
      <x:c r="O71" s="281"/>
      <x:c r="P71" s="281"/>
      <x:c r="Q71" s="281"/>
      <x:c r="R71" s="281"/>
      <x:c r="S71" s="281"/>
      <x:c r="T71" s="281"/>
      <x:c r="U71" s="281"/>
      <x:c r="V71" s="281"/>
      <x:c r="W71" s="281"/>
      <x:c r="X71" s="281"/>
      <x:c r="Y71" s="281"/>
      <x:c r="Z71" s="281"/>
      <x:c r="AA71" s="281"/>
      <x:c r="AB71" s="281"/>
      <x:c r="AC71" s="281"/>
      <x:c r="AD71" s="281"/>
      <x:c r="AE71" s="281"/>
      <x:c r="AF71" s="281"/>
      <x:c r="AG71" s="281"/>
      <x:c r="AH71" s="281"/>
      <x:c r="AI71" s="281"/>
      <x:c r="AJ71" s="281"/>
      <x:c r="AK71" s="281"/>
      <x:c r="AL71" s="281"/>
      <x:c r="AM71" s="281"/>
      <x:c r="AN71" s="281"/>
    </x:row>
    <x:row r="72">
      <x:c r="A72" s="281"/>
      <x:c r="B72" s="281"/>
      <x:c r="C72" s="281"/>
      <x:c r="D72" s="281"/>
      <x:c r="E72" s="281"/>
      <x:c r="F72" s="281"/>
      <x:c r="G72" s="281"/>
      <x:c r="H72" s="281"/>
      <x:c r="I72" s="281"/>
      <x:c r="J72" s="281"/>
      <x:c r="K72" s="281"/>
      <x:c r="L72" s="281"/>
      <x:c r="M72" s="281"/>
      <x:c r="N72" s="281"/>
      <x:c r="O72" s="281"/>
      <x:c r="P72" s="281"/>
      <x:c r="Q72" s="281"/>
      <x:c r="R72" s="281"/>
      <x:c r="S72" s="281"/>
      <x:c r="T72" s="281"/>
      <x:c r="U72" s="281"/>
      <x:c r="V72" s="281"/>
      <x:c r="W72" s="281"/>
      <x:c r="X72" s="281"/>
      <x:c r="Y72" s="281"/>
      <x:c r="Z72" s="281"/>
      <x:c r="AA72" s="281"/>
      <x:c r="AB72" s="281"/>
      <x:c r="AC72" s="281"/>
      <x:c r="AD72" s="281"/>
      <x:c r="AE72" s="281"/>
      <x:c r="AF72" s="281"/>
      <x:c r="AG72" s="281"/>
      <x:c r="AH72" s="281"/>
      <x:c r="AI72" s="281"/>
      <x:c r="AJ72" s="281"/>
      <x:c r="AK72" s="281"/>
      <x:c r="AL72" s="281"/>
      <x:c r="AM72" s="281"/>
      <x:c r="AN72" s="281"/>
    </x:row>
    <x:row r="73">
      <x:c r="A73" s="281"/>
      <x:c r="B73" s="281"/>
      <x:c r="C73" s="281"/>
      <x:c r="D73" s="281"/>
      <x:c r="E73" s="281"/>
      <x:c r="F73" s="281"/>
      <x:c r="G73" s="281"/>
      <x:c r="H73" s="281"/>
      <x:c r="I73" s="281"/>
      <x:c r="J73" s="281"/>
      <x:c r="K73" s="281"/>
      <x:c r="L73" s="281"/>
      <x:c r="M73" s="281"/>
      <x:c r="N73" s="281"/>
      <x:c r="O73" s="281"/>
      <x:c r="P73" s="281"/>
      <x:c r="Q73" s="281"/>
      <x:c r="R73" s="281"/>
      <x:c r="S73" s="281"/>
      <x:c r="T73" s="281"/>
      <x:c r="U73" s="281"/>
      <x:c r="V73" s="281"/>
      <x:c r="W73" s="281"/>
      <x:c r="X73" s="281"/>
      <x:c r="Y73" s="281"/>
      <x:c r="Z73" s="281"/>
      <x:c r="AA73" s="281"/>
      <x:c r="AB73" s="281"/>
      <x:c r="AC73" s="281"/>
      <x:c r="AD73" s="281"/>
      <x:c r="AE73" s="281"/>
      <x:c r="AF73" s="281"/>
      <x:c r="AG73" s="281"/>
      <x:c r="AH73" s="281"/>
      <x:c r="AI73" s="281"/>
      <x:c r="AJ73" s="281"/>
      <x:c r="AK73" s="281"/>
      <x:c r="AL73" s="281"/>
      <x:c r="AM73" s="281"/>
      <x:c r="AN73" s="281"/>
    </x:row>
    <x:row r="74">
      <x:c r="A74" s="281"/>
      <x:c r="B74" s="281"/>
      <x:c r="C74" s="281"/>
      <x:c r="D74" s="281"/>
      <x:c r="E74" s="281"/>
      <x:c r="F74" s="281"/>
      <x:c r="G74" s="281"/>
      <x:c r="H74" s="281"/>
      <x:c r="I74" s="281"/>
      <x:c r="J74" s="281"/>
      <x:c r="K74" s="281"/>
      <x:c r="L74" s="281"/>
      <x:c r="M74" s="281"/>
      <x:c r="N74" s="281"/>
      <x:c r="O74" s="281"/>
      <x:c r="P74" s="281"/>
      <x:c r="Q74" s="281"/>
      <x:c r="R74" s="281"/>
      <x:c r="S74" s="281"/>
      <x:c r="T74" s="281"/>
      <x:c r="U74" s="281"/>
      <x:c r="V74" s="281"/>
      <x:c r="W74" s="281"/>
      <x:c r="X74" s="281"/>
      <x:c r="Y74" s="281"/>
      <x:c r="Z74" s="281"/>
      <x:c r="AA74" s="281"/>
      <x:c r="AB74" s="281"/>
      <x:c r="AC74" s="281"/>
      <x:c r="AD74" s="281"/>
      <x:c r="AE74" s="281"/>
      <x:c r="AF74" s="281"/>
      <x:c r="AG74" s="281"/>
      <x:c r="AH74" s="281"/>
      <x:c r="AI74" s="281"/>
      <x:c r="AJ74" s="281"/>
      <x:c r="AK74" s="281"/>
      <x:c r="AL74" s="281"/>
      <x:c r="AM74" s="281"/>
      <x:c r="AN74" s="281"/>
    </x:row>
    <x:row r="75">
      <x:c r="A75" s="281"/>
      <x:c r="B75" s="281"/>
      <x:c r="C75" s="281"/>
      <x:c r="D75" s="281"/>
      <x:c r="E75" s="281"/>
      <x:c r="F75" s="281"/>
      <x:c r="G75" s="281"/>
      <x:c r="H75" s="281"/>
      <x:c r="I75" s="281"/>
      <x:c r="J75" s="281"/>
      <x:c r="K75" s="281"/>
      <x:c r="L75" s="281"/>
      <x:c r="M75" s="281"/>
      <x:c r="N75" s="281"/>
      <x:c r="O75" s="281"/>
      <x:c r="P75" s="281"/>
      <x:c r="Q75" s="281"/>
      <x:c r="R75" s="281"/>
      <x:c r="S75" s="281"/>
      <x:c r="T75" s="281"/>
      <x:c r="U75" s="281"/>
      <x:c r="V75" s="281"/>
      <x:c r="W75" s="281"/>
      <x:c r="X75" s="281"/>
      <x:c r="Y75" s="281"/>
      <x:c r="Z75" s="281"/>
      <x:c r="AA75" s="281"/>
      <x:c r="AB75" s="281"/>
      <x:c r="AC75" s="281"/>
      <x:c r="AD75" s="281"/>
      <x:c r="AE75" s="281"/>
      <x:c r="AF75" s="281"/>
      <x:c r="AG75" s="281"/>
      <x:c r="AH75" s="281"/>
      <x:c r="AI75" s="281"/>
      <x:c r="AJ75" s="281"/>
      <x:c r="AK75" s="281"/>
      <x:c r="AL75" s="281"/>
      <x:c r="AM75" s="281"/>
      <x:c r="AN75" s="281"/>
    </x:row>
    <x:row r="76">
      <x:c r="A76" s="281"/>
      <x:c r="B76" s="281"/>
      <x:c r="C76" s="281"/>
      <x:c r="D76" s="281"/>
      <x:c r="E76" s="281"/>
      <x:c r="F76" s="281"/>
      <x:c r="G76" s="281"/>
      <x:c r="H76" s="281"/>
      <x:c r="I76" s="281"/>
      <x:c r="J76" s="281"/>
      <x:c r="K76" s="281"/>
      <x:c r="L76" s="281"/>
      <x:c r="M76" s="281"/>
      <x:c r="N76" s="281"/>
      <x:c r="O76" s="281"/>
      <x:c r="P76" s="281"/>
      <x:c r="Q76" s="281"/>
      <x:c r="R76" s="281"/>
      <x:c r="S76" s="281"/>
      <x:c r="T76" s="281"/>
      <x:c r="U76" s="281"/>
      <x:c r="V76" s="281"/>
      <x:c r="W76" s="281"/>
      <x:c r="X76" s="281"/>
      <x:c r="Y76" s="281"/>
      <x:c r="Z76" s="281"/>
      <x:c r="AA76" s="281"/>
      <x:c r="AB76" s="281"/>
      <x:c r="AC76" s="281"/>
      <x:c r="AD76" s="281"/>
      <x:c r="AE76" s="281"/>
      <x:c r="AF76" s="281"/>
      <x:c r="AG76" s="281"/>
      <x:c r="AH76" s="281"/>
      <x:c r="AI76" s="281"/>
      <x:c r="AJ76" s="281"/>
      <x:c r="AK76" s="281"/>
      <x:c r="AL76" s="281"/>
      <x:c r="AM76" s="281"/>
      <x:c r="AN76" s="281"/>
    </x:row>
    <x:row r="77">
      <x:c r="A77" s="281"/>
      <x:c r="B77" s="281"/>
      <x:c r="C77" s="281"/>
      <x:c r="D77" s="281"/>
      <x:c r="E77" s="281"/>
      <x:c r="F77" s="281"/>
      <x:c r="G77" s="281"/>
      <x:c r="H77" s="281"/>
      <x:c r="I77" s="281"/>
      <x:c r="J77" s="281"/>
      <x:c r="K77" s="281"/>
      <x:c r="L77" s="281"/>
      <x:c r="M77" s="281"/>
      <x:c r="N77" s="281"/>
      <x:c r="O77" s="281"/>
      <x:c r="P77" s="281"/>
      <x:c r="Q77" s="281"/>
      <x:c r="R77" s="281"/>
      <x:c r="S77" s="281"/>
      <x:c r="T77" s="281"/>
      <x:c r="U77" s="281"/>
      <x:c r="V77" s="281"/>
      <x:c r="W77" s="281"/>
      <x:c r="X77" s="281"/>
      <x:c r="Y77" s="281"/>
      <x:c r="Z77" s="281"/>
      <x:c r="AA77" s="281"/>
      <x:c r="AB77" s="281"/>
      <x:c r="AC77" s="281"/>
      <x:c r="AD77" s="281"/>
      <x:c r="AE77" s="281"/>
      <x:c r="AF77" s="281"/>
      <x:c r="AG77" s="281"/>
      <x:c r="AH77" s="281"/>
      <x:c r="AI77" s="281"/>
      <x:c r="AJ77" s="281"/>
      <x:c r="AK77" s="281"/>
      <x:c r="AL77" s="281"/>
      <x:c r="AM77" s="281"/>
      <x:c r="AN77" s="281"/>
    </x:row>
    <x:row r="78">
      <x:c r="A78" s="281"/>
      <x:c r="B78" s="281"/>
      <x:c r="C78" s="281"/>
      <x:c r="D78" s="281"/>
      <x:c r="E78" s="281"/>
      <x:c r="F78" s="281"/>
      <x:c r="G78" s="281"/>
      <x:c r="H78" s="281"/>
      <x:c r="I78" s="281"/>
      <x:c r="J78" s="281"/>
      <x:c r="K78" s="281"/>
      <x:c r="L78" s="281"/>
      <x:c r="M78" s="281"/>
      <x:c r="N78" s="281"/>
      <x:c r="O78" s="281"/>
      <x:c r="P78" s="281"/>
      <x:c r="Q78" s="281"/>
      <x:c r="R78" s="281"/>
      <x:c r="S78" s="281"/>
      <x:c r="T78" s="281"/>
      <x:c r="U78" s="281"/>
      <x:c r="V78" s="281"/>
      <x:c r="W78" s="281"/>
      <x:c r="X78" s="281"/>
      <x:c r="Y78" s="281"/>
      <x:c r="Z78" s="281"/>
      <x:c r="AA78" s="281"/>
      <x:c r="AB78" s="281"/>
      <x:c r="AC78" s="281"/>
      <x:c r="AD78" s="281"/>
      <x:c r="AE78" s="281"/>
      <x:c r="AF78" s="281"/>
      <x:c r="AG78" s="281"/>
      <x:c r="AH78" s="281"/>
      <x:c r="AI78" s="281"/>
      <x:c r="AJ78" s="281"/>
      <x:c r="AK78" s="281"/>
      <x:c r="AL78" s="281"/>
      <x:c r="AM78" s="281"/>
      <x:c r="AN78" s="281"/>
    </x:row>
    <x:row r="79">
      <x:c r="A79" s="281"/>
      <x:c r="B79" s="281"/>
      <x:c r="C79" s="281"/>
      <x:c r="D79" s="281"/>
      <x:c r="E79" s="281"/>
      <x:c r="F79" s="281"/>
      <x:c r="G79" s="281"/>
      <x:c r="H79" s="281"/>
      <x:c r="I79" s="281"/>
      <x:c r="J79" s="281"/>
      <x:c r="K79" s="281"/>
      <x:c r="L79" s="281"/>
      <x:c r="M79" s="281"/>
      <x:c r="N79" s="281"/>
      <x:c r="O79" s="281"/>
      <x:c r="P79" s="281"/>
      <x:c r="Q79" s="281"/>
      <x:c r="R79" s="281"/>
      <x:c r="S79" s="281"/>
      <x:c r="T79" s="281"/>
      <x:c r="U79" s="281"/>
      <x:c r="V79" s="281"/>
      <x:c r="W79" s="281"/>
      <x:c r="X79" s="281"/>
      <x:c r="Y79" s="281"/>
      <x:c r="Z79" s="281"/>
      <x:c r="AA79" s="281"/>
      <x:c r="AB79" s="281"/>
      <x:c r="AC79" s="281"/>
      <x:c r="AD79" s="281"/>
      <x:c r="AE79" s="281"/>
      <x:c r="AF79" s="281"/>
      <x:c r="AG79" s="281"/>
      <x:c r="AH79" s="281"/>
      <x:c r="AI79" s="281"/>
      <x:c r="AJ79" s="281"/>
      <x:c r="AK79" s="281"/>
      <x:c r="AL79" s="281"/>
      <x:c r="AM79" s="281"/>
      <x:c r="AN79" s="281"/>
    </x:row>
    <x:row r="80">
      <x:c r="A80" s="281"/>
      <x:c r="B80" s="281"/>
      <x:c r="C80" s="281"/>
      <x:c r="D80" s="281"/>
      <x:c r="E80" s="281"/>
      <x:c r="F80" s="281"/>
      <x:c r="G80" s="281"/>
      <x:c r="H80" s="281"/>
      <x:c r="I80" s="281"/>
      <x:c r="J80" s="281"/>
      <x:c r="K80" s="281"/>
      <x:c r="L80" s="281"/>
      <x:c r="M80" s="281"/>
      <x:c r="N80" s="281"/>
      <x:c r="O80" s="281"/>
      <x:c r="P80" s="281"/>
      <x:c r="Q80" s="281"/>
      <x:c r="R80" s="281"/>
      <x:c r="S80" s="281"/>
      <x:c r="T80" s="281"/>
      <x:c r="U80" s="281"/>
      <x:c r="V80" s="281"/>
      <x:c r="W80" s="281"/>
      <x:c r="X80" s="281"/>
      <x:c r="Y80" s="281"/>
      <x:c r="Z80" s="281"/>
      <x:c r="AA80" s="281"/>
      <x:c r="AB80" s="281"/>
      <x:c r="AC80" s="281"/>
      <x:c r="AD80" s="281"/>
      <x:c r="AE80" s="281"/>
      <x:c r="AF80" s="281"/>
      <x:c r="AG80" s="281"/>
      <x:c r="AH80" s="281"/>
      <x:c r="AI80" s="281"/>
      <x:c r="AJ80" s="281"/>
      <x:c r="AK80" s="281"/>
      <x:c r="AL80" s="281"/>
      <x:c r="AM80" s="281"/>
      <x:c r="AN80" s="281"/>
    </x:row>
    <x:row r="81">
      <x:c r="A81" s="281"/>
      <x:c r="B81" s="281"/>
      <x:c r="C81" s="281"/>
      <x:c r="D81" s="281"/>
      <x:c r="E81" s="281"/>
      <x:c r="F81" s="281"/>
      <x:c r="G81" s="281"/>
      <x:c r="H81" s="281"/>
      <x:c r="I81" s="281"/>
      <x:c r="J81" s="281"/>
      <x:c r="K81" s="281"/>
      <x:c r="L81" s="281"/>
      <x:c r="M81" s="281"/>
      <x:c r="N81" s="281"/>
      <x:c r="O81" s="281"/>
      <x:c r="P81" s="281"/>
      <x:c r="Q81" s="281"/>
      <x:c r="R81" s="281"/>
      <x:c r="S81" s="281"/>
      <x:c r="T81" s="281"/>
      <x:c r="U81" s="281"/>
      <x:c r="V81" s="281"/>
      <x:c r="W81" s="281"/>
      <x:c r="X81" s="281"/>
      <x:c r="Y81" s="281"/>
      <x:c r="Z81" s="281"/>
      <x:c r="AA81" s="281"/>
      <x:c r="AB81" s="281"/>
      <x:c r="AC81" s="281"/>
      <x:c r="AD81" s="281"/>
      <x:c r="AE81" s="281"/>
      <x:c r="AF81" s="281"/>
      <x:c r="AG81" s="281"/>
      <x:c r="AH81" s="281"/>
      <x:c r="AI81" s="281"/>
      <x:c r="AJ81" s="281"/>
      <x:c r="AK81" s="281"/>
      <x:c r="AL81" s="281"/>
      <x:c r="AM81" s="281"/>
      <x:c r="AN81" s="281"/>
    </x:row>
    <x:row r="82">
      <x:c r="A82" s="281"/>
      <x:c r="B82" s="281"/>
      <x:c r="C82" s="281"/>
      <x:c r="D82" s="281"/>
      <x:c r="E82" s="281"/>
      <x:c r="F82" s="281"/>
      <x:c r="G82" s="281"/>
      <x:c r="H82" s="281"/>
      <x:c r="I82" s="281"/>
      <x:c r="J82" s="281"/>
      <x:c r="K82" s="281"/>
      <x:c r="L82" s="281"/>
      <x:c r="M82" s="281"/>
      <x:c r="N82" s="281"/>
      <x:c r="O82" s="281"/>
      <x:c r="P82" s="281"/>
      <x:c r="Q82" s="281"/>
      <x:c r="R82" s="281"/>
      <x:c r="S82" s="281"/>
      <x:c r="T82" s="281"/>
      <x:c r="U82" s="281"/>
      <x:c r="V82" s="281"/>
      <x:c r="W82" s="281"/>
      <x:c r="X82" s="281"/>
      <x:c r="Y82" s="281"/>
      <x:c r="Z82" s="281"/>
      <x:c r="AA82" s="281"/>
      <x:c r="AB82" s="281"/>
      <x:c r="AC82" s="281"/>
      <x:c r="AD82" s="281"/>
      <x:c r="AE82" s="281"/>
      <x:c r="AF82" s="281"/>
      <x:c r="AG82" s="281"/>
      <x:c r="AH82" s="281"/>
      <x:c r="AI82" s="281"/>
      <x:c r="AJ82" s="281"/>
      <x:c r="AK82" s="281"/>
      <x:c r="AL82" s="281"/>
      <x:c r="AM82" s="281"/>
      <x:c r="AN82" s="281"/>
    </x:row>
    <x:row r="83">
      <x:c r="A83" s="281"/>
      <x:c r="B83" s="281"/>
      <x:c r="C83" s="281"/>
      <x:c r="D83" s="281"/>
      <x:c r="E83" s="281"/>
      <x:c r="F83" s="281"/>
      <x:c r="G83" s="281"/>
      <x:c r="H83" s="281"/>
      <x:c r="I83" s="281"/>
      <x:c r="J83" s="281"/>
      <x:c r="K83" s="281"/>
      <x:c r="L83" s="281"/>
      <x:c r="M83" s="281"/>
      <x:c r="N83" s="281"/>
      <x:c r="O83" s="281"/>
      <x:c r="P83" s="281"/>
      <x:c r="Q83" s="281"/>
      <x:c r="R83" s="281"/>
      <x:c r="S83" s="281"/>
      <x:c r="T83" s="281"/>
      <x:c r="U83" s="281"/>
      <x:c r="V83" s="281"/>
      <x:c r="W83" s="281"/>
      <x:c r="X83" s="281"/>
      <x:c r="Y83" s="281"/>
      <x:c r="Z83" s="281"/>
      <x:c r="AA83" s="281"/>
      <x:c r="AB83" s="281"/>
      <x:c r="AC83" s="281"/>
      <x:c r="AD83" s="281"/>
      <x:c r="AE83" s="281"/>
      <x:c r="AF83" s="281"/>
      <x:c r="AG83" s="281"/>
      <x:c r="AH83" s="281"/>
      <x:c r="AI83" s="281"/>
      <x:c r="AJ83" s="281"/>
      <x:c r="AK83" s="281"/>
      <x:c r="AL83" s="281"/>
      <x:c r="AM83" s="281"/>
      <x:c r="AN83" s="281"/>
    </x:row>
    <x:row r="84">
      <x:c r="A84" s="281"/>
      <x:c r="B84" s="281"/>
      <x:c r="C84" s="281"/>
      <x:c r="D84" s="281"/>
      <x:c r="E84" s="281"/>
      <x:c r="F84" s="281"/>
      <x:c r="G84" s="281"/>
      <x:c r="H84" s="281"/>
      <x:c r="I84" s="281"/>
      <x:c r="J84" s="281"/>
      <x:c r="K84" s="281"/>
      <x:c r="L84" s="281"/>
      <x:c r="M84" s="281"/>
      <x:c r="N84" s="281"/>
      <x:c r="O84" s="281"/>
      <x:c r="P84" s="281"/>
      <x:c r="Q84" s="281"/>
      <x:c r="R84" s="281"/>
      <x:c r="S84" s="281"/>
      <x:c r="T84" s="281"/>
      <x:c r="U84" s="281"/>
      <x:c r="V84" s="281"/>
      <x:c r="W84" s="281"/>
      <x:c r="X84" s="281"/>
      <x:c r="Y84" s="281"/>
      <x:c r="Z84" s="281"/>
      <x:c r="AA84" s="281"/>
      <x:c r="AB84" s="281"/>
      <x:c r="AC84" s="281"/>
      <x:c r="AD84" s="281"/>
      <x:c r="AE84" s="281"/>
      <x:c r="AF84" s="281"/>
      <x:c r="AG84" s="281"/>
      <x:c r="AH84" s="281"/>
      <x:c r="AI84" s="281"/>
      <x:c r="AJ84" s="281"/>
      <x:c r="AK84" s="281"/>
      <x:c r="AL84" s="281"/>
      <x:c r="AM84" s="281"/>
      <x:c r="AN84" s="281"/>
    </x:row>
    <x:row r="85">
      <x:c r="A85" s="281"/>
      <x:c r="B85" s="281"/>
      <x:c r="C85" s="281"/>
      <x:c r="D85" s="281"/>
      <x:c r="E85" s="281"/>
      <x:c r="F85" s="281"/>
      <x:c r="G85" s="281"/>
      <x:c r="H85" s="281"/>
      <x:c r="I85" s="281"/>
      <x:c r="J85" s="281"/>
      <x:c r="K85" s="281"/>
      <x:c r="L85" s="281"/>
      <x:c r="M85" s="281"/>
      <x:c r="N85" s="281"/>
      <x:c r="O85" s="281"/>
      <x:c r="P85" s="281"/>
      <x:c r="Q85" s="281"/>
      <x:c r="R85" s="281"/>
      <x:c r="S85" s="281"/>
      <x:c r="T85" s="281"/>
      <x:c r="U85" s="281"/>
      <x:c r="V85" s="281"/>
      <x:c r="W85" s="281"/>
      <x:c r="X85" s="281"/>
      <x:c r="Y85" s="281"/>
      <x:c r="Z85" s="281"/>
      <x:c r="AA85" s="281"/>
      <x:c r="AB85" s="281"/>
      <x:c r="AC85" s="281"/>
      <x:c r="AD85" s="281"/>
      <x:c r="AE85" s="281"/>
      <x:c r="AF85" s="281"/>
      <x:c r="AG85" s="281"/>
      <x:c r="AH85" s="281"/>
      <x:c r="AI85" s="281"/>
      <x:c r="AJ85" s="281"/>
      <x:c r="AK85" s="281"/>
      <x:c r="AL85" s="281"/>
      <x:c r="AM85" s="281"/>
      <x:c r="AN85" s="281"/>
    </x:row>
    <x:row r="86">
      <x:c r="A86" s="281"/>
      <x:c r="B86" s="281"/>
      <x:c r="C86" s="281"/>
      <x:c r="D86" s="281"/>
      <x:c r="E86" s="281"/>
      <x:c r="F86" s="281"/>
      <x:c r="G86" s="281"/>
      <x:c r="H86" s="281"/>
      <x:c r="I86" s="281"/>
      <x:c r="J86" s="281"/>
      <x:c r="K86" s="281"/>
      <x:c r="L86" s="281"/>
      <x:c r="M86" s="281"/>
      <x:c r="N86" s="281"/>
      <x:c r="O86" s="281"/>
      <x:c r="P86" s="281"/>
      <x:c r="Q86" s="281"/>
      <x:c r="R86" s="281"/>
      <x:c r="S86" s="281"/>
      <x:c r="T86" s="281"/>
      <x:c r="U86" s="281"/>
      <x:c r="V86" s="281"/>
      <x:c r="W86" s="281"/>
      <x:c r="X86" s="281"/>
      <x:c r="Y86" s="281"/>
      <x:c r="Z86" s="281"/>
      <x:c r="AA86" s="281"/>
      <x:c r="AB86" s="281"/>
      <x:c r="AC86" s="281"/>
      <x:c r="AD86" s="281"/>
      <x:c r="AE86" s="281"/>
      <x:c r="AF86" s="281"/>
      <x:c r="AG86" s="281"/>
      <x:c r="AH86" s="281"/>
      <x:c r="AI86" s="281"/>
      <x:c r="AJ86" s="281"/>
      <x:c r="AK86" s="281"/>
      <x:c r="AL86" s="281"/>
      <x:c r="AM86" s="281"/>
      <x:c r="AN86" s="281"/>
    </x:row>
    <x:row r="87">
      <x:c r="A87" s="281"/>
      <x:c r="B87" s="281"/>
      <x:c r="C87" s="281"/>
      <x:c r="D87" s="281"/>
      <x:c r="E87" s="281"/>
      <x:c r="F87" s="281"/>
      <x:c r="G87" s="281"/>
      <x:c r="H87" s="281"/>
      <x:c r="I87" s="281"/>
      <x:c r="J87" s="281"/>
      <x:c r="K87" s="281"/>
      <x:c r="L87" s="281"/>
      <x:c r="M87" s="281"/>
      <x:c r="N87" s="281"/>
      <x:c r="O87" s="281"/>
      <x:c r="P87" s="281"/>
      <x:c r="Q87" s="281"/>
      <x:c r="R87" s="281"/>
      <x:c r="S87" s="281"/>
      <x:c r="T87" s="281"/>
      <x:c r="U87" s="281"/>
      <x:c r="V87" s="281"/>
      <x:c r="W87" s="281"/>
      <x:c r="X87" s="281"/>
      <x:c r="Y87" s="281"/>
      <x:c r="Z87" s="281"/>
      <x:c r="AA87" s="281"/>
      <x:c r="AB87" s="281"/>
      <x:c r="AC87" s="281"/>
      <x:c r="AD87" s="281"/>
      <x:c r="AE87" s="281"/>
      <x:c r="AF87" s="281"/>
      <x:c r="AG87" s="281"/>
      <x:c r="AH87" s="281"/>
      <x:c r="AI87" s="281"/>
      <x:c r="AJ87" s="281"/>
      <x:c r="AK87" s="281"/>
      <x:c r="AL87" s="281"/>
      <x:c r="AM87" s="281"/>
      <x:c r="AN87" s="281"/>
    </x:row>
    <x:row r="88">
      <x:c r="A88" s="281"/>
      <x:c r="B88" s="281"/>
      <x:c r="C88" s="281"/>
      <x:c r="D88" s="281"/>
      <x:c r="E88" s="281"/>
      <x:c r="F88" s="281"/>
      <x:c r="G88" s="281"/>
      <x:c r="H88" s="281"/>
      <x:c r="I88" s="281"/>
      <x:c r="J88" s="281"/>
      <x:c r="K88" s="281"/>
      <x:c r="L88" s="281"/>
      <x:c r="M88" s="281"/>
      <x:c r="N88" s="281"/>
      <x:c r="O88" s="281"/>
      <x:c r="P88" s="281"/>
      <x:c r="Q88" s="281"/>
      <x:c r="R88" s="281"/>
      <x:c r="S88" s="281"/>
      <x:c r="T88" s="281"/>
      <x:c r="U88" s="281"/>
      <x:c r="V88" s="281"/>
      <x:c r="W88" s="281"/>
      <x:c r="X88" s="281"/>
      <x:c r="Y88" s="281"/>
      <x:c r="Z88" s="281"/>
      <x:c r="AA88" s="281"/>
      <x:c r="AB88" s="281"/>
      <x:c r="AC88" s="281"/>
      <x:c r="AD88" s="281"/>
      <x:c r="AE88" s="281"/>
      <x:c r="AF88" s="281"/>
      <x:c r="AG88" s="281"/>
      <x:c r="AH88" s="281"/>
      <x:c r="AI88" s="281"/>
      <x:c r="AJ88" s="281"/>
      <x:c r="AK88" s="281"/>
      <x:c r="AL88" s="281"/>
      <x:c r="AM88" s="281"/>
      <x:c r="AN88" s="281"/>
    </x:row>
    <x:row r="89">
      <x:c r="A89" s="281"/>
      <x:c r="B89" s="281"/>
      <x:c r="C89" s="281"/>
      <x:c r="D89" s="281"/>
      <x:c r="E89" s="281"/>
      <x:c r="F89" s="281"/>
      <x:c r="G89" s="281"/>
      <x:c r="H89" s="281"/>
      <x:c r="I89" s="281"/>
      <x:c r="J89" s="281"/>
      <x:c r="K89" s="281"/>
      <x:c r="L89" s="281"/>
      <x:c r="M89" s="281"/>
      <x:c r="N89" s="281"/>
      <x:c r="O89" s="281"/>
      <x:c r="P89" s="281"/>
      <x:c r="Q89" s="281"/>
      <x:c r="R89" s="281"/>
      <x:c r="S89" s="281"/>
      <x:c r="T89" s="281"/>
      <x:c r="U89" s="281"/>
      <x:c r="V89" s="281"/>
      <x:c r="W89" s="281"/>
      <x:c r="X89" s="281"/>
      <x:c r="Y89" s="281"/>
      <x:c r="Z89" s="281"/>
      <x:c r="AA89" s="281"/>
      <x:c r="AB89" s="281"/>
      <x:c r="AC89" s="281"/>
      <x:c r="AD89" s="281"/>
      <x:c r="AE89" s="281"/>
      <x:c r="AF89" s="281"/>
      <x:c r="AG89" s="281"/>
      <x:c r="AH89" s="281"/>
      <x:c r="AI89" s="281"/>
      <x:c r="AJ89" s="281"/>
      <x:c r="AK89" s="281"/>
      <x:c r="AL89" s="281"/>
      <x:c r="AM89" s="281"/>
      <x:c r="AN89" s="281"/>
    </x:row>
    <x:row r="90">
      <x:c r="A90" s="281"/>
      <x:c r="B90" s="281"/>
      <x:c r="C90" s="281"/>
      <x:c r="D90" s="281"/>
      <x:c r="E90" s="281"/>
      <x:c r="F90" s="281"/>
      <x:c r="G90" s="281"/>
      <x:c r="H90" s="281"/>
      <x:c r="I90" s="281"/>
      <x:c r="J90" s="281"/>
      <x:c r="K90" s="281"/>
      <x:c r="L90" s="281"/>
      <x:c r="M90" s="281"/>
      <x:c r="N90" s="281"/>
      <x:c r="O90" s="281"/>
      <x:c r="P90" s="281"/>
      <x:c r="Q90" s="281"/>
      <x:c r="R90" s="281"/>
      <x:c r="S90" s="281"/>
      <x:c r="T90" s="281"/>
      <x:c r="U90" s="281"/>
      <x:c r="V90" s="281"/>
      <x:c r="W90" s="281"/>
      <x:c r="X90" s="281"/>
      <x:c r="Y90" s="281"/>
      <x:c r="Z90" s="281"/>
      <x:c r="AA90" s="281"/>
      <x:c r="AB90" s="281"/>
      <x:c r="AC90" s="281"/>
      <x:c r="AD90" s="281"/>
      <x:c r="AE90" s="281"/>
      <x:c r="AF90" s="281"/>
      <x:c r="AG90" s="281"/>
      <x:c r="AH90" s="281"/>
      <x:c r="AI90" s="281"/>
      <x:c r="AJ90" s="281"/>
      <x:c r="AK90" s="281"/>
      <x:c r="AL90" s="281"/>
      <x:c r="AM90" s="281"/>
      <x:c r="AN90" s="281"/>
    </x:row>
    <x:row r="91">
      <x:c r="A91" s="281"/>
      <x:c r="B91" s="281"/>
      <x:c r="C91" s="281"/>
      <x:c r="D91" s="281"/>
      <x:c r="E91" s="281"/>
      <x:c r="F91" s="281"/>
      <x:c r="G91" s="281"/>
      <x:c r="H91" s="281"/>
      <x:c r="I91" s="281"/>
      <x:c r="J91" s="281"/>
      <x:c r="K91" s="281"/>
      <x:c r="L91" s="281"/>
      <x:c r="M91" s="281"/>
      <x:c r="N91" s="281"/>
      <x:c r="O91" s="281"/>
      <x:c r="P91" s="281"/>
      <x:c r="Q91" s="281"/>
      <x:c r="R91" s="281"/>
      <x:c r="S91" s="281"/>
      <x:c r="T91" s="281"/>
      <x:c r="U91" s="281"/>
      <x:c r="V91" s="281"/>
      <x:c r="W91" s="281"/>
      <x:c r="X91" s="281"/>
      <x:c r="Y91" s="281"/>
      <x:c r="Z91" s="281"/>
      <x:c r="AA91" s="281"/>
      <x:c r="AB91" s="281"/>
      <x:c r="AC91" s="281"/>
      <x:c r="AD91" s="281"/>
      <x:c r="AE91" s="281"/>
      <x:c r="AF91" s="281"/>
      <x:c r="AG91" s="281"/>
      <x:c r="AH91" s="281"/>
      <x:c r="AI91" s="281"/>
      <x:c r="AJ91" s="281"/>
      <x:c r="AK91" s="281"/>
      <x:c r="AL91" s="281"/>
      <x:c r="AM91" s="281"/>
      <x:c r="AN91" s="281"/>
    </x:row>
    <x:row r="92">
      <x:c r="A92" s="281"/>
      <x:c r="B92" s="281"/>
      <x:c r="C92" s="281"/>
      <x:c r="D92" s="281"/>
      <x:c r="E92" s="281"/>
      <x:c r="F92" s="281"/>
      <x:c r="G92" s="281"/>
      <x:c r="H92" s="281"/>
      <x:c r="I92" s="281"/>
      <x:c r="J92" s="281"/>
      <x:c r="K92" s="281"/>
      <x:c r="L92" s="281"/>
      <x:c r="M92" s="281"/>
      <x:c r="N92" s="281"/>
      <x:c r="O92" s="281"/>
      <x:c r="P92" s="281"/>
      <x:c r="Q92" s="281"/>
      <x:c r="R92" s="281"/>
      <x:c r="S92" s="281"/>
      <x:c r="T92" s="281"/>
      <x:c r="U92" s="281"/>
      <x:c r="V92" s="281"/>
      <x:c r="W92" s="281"/>
      <x:c r="X92" s="281"/>
      <x:c r="Y92" s="281"/>
      <x:c r="Z92" s="281"/>
      <x:c r="AA92" s="281"/>
      <x:c r="AB92" s="281"/>
      <x:c r="AC92" s="281"/>
      <x:c r="AD92" s="281"/>
      <x:c r="AE92" s="281"/>
      <x:c r="AF92" s="281"/>
      <x:c r="AG92" s="281"/>
      <x:c r="AH92" s="281"/>
      <x:c r="AI92" s="281"/>
      <x:c r="AJ92" s="281"/>
      <x:c r="AK92" s="281"/>
      <x:c r="AL92" s="281"/>
      <x:c r="AM92" s="281"/>
      <x:c r="AN92" s="281"/>
    </x:row>
    <x:row r="93">
      <x:c r="A93" s="281"/>
      <x:c r="B93" s="281"/>
      <x:c r="C93" s="281"/>
      <x:c r="D93" s="281"/>
      <x:c r="E93" s="281"/>
      <x:c r="F93" s="281"/>
      <x:c r="G93" s="281"/>
      <x:c r="H93" s="281"/>
      <x:c r="I93" s="281"/>
      <x:c r="J93" s="281"/>
      <x:c r="K93" s="281"/>
      <x:c r="L93" s="281"/>
      <x:c r="M93" s="281"/>
      <x:c r="N93" s="281"/>
      <x:c r="O93" s="281"/>
      <x:c r="P93" s="281"/>
      <x:c r="Q93" s="281"/>
      <x:c r="R93" s="281"/>
      <x:c r="S93" s="281"/>
      <x:c r="T93" s="281"/>
      <x:c r="U93" s="281"/>
      <x:c r="V93" s="281"/>
      <x:c r="W93" s="281"/>
      <x:c r="X93" s="281"/>
      <x:c r="Y93" s="281"/>
      <x:c r="Z93" s="281"/>
      <x:c r="AA93" s="281"/>
      <x:c r="AB93" s="281"/>
      <x:c r="AC93" s="281"/>
      <x:c r="AD93" s="281"/>
      <x:c r="AE93" s="281"/>
      <x:c r="AF93" s="281"/>
      <x:c r="AG93" s="281"/>
      <x:c r="AH93" s="281"/>
      <x:c r="AI93" s="281"/>
      <x:c r="AJ93" s="281"/>
      <x:c r="AK93" s="281"/>
      <x:c r="AL93" s="281"/>
      <x:c r="AM93" s="281"/>
      <x:c r="AN93" s="281"/>
    </x:row>
    <x:row r="94">
      <x:c r="A94" s="281"/>
      <x:c r="B94" s="281"/>
      <x:c r="C94" s="281"/>
      <x:c r="D94" s="281"/>
      <x:c r="E94" s="281"/>
      <x:c r="F94" s="281"/>
      <x:c r="G94" s="281"/>
      <x:c r="H94" s="281"/>
      <x:c r="I94" s="281"/>
      <x:c r="J94" s="281"/>
      <x:c r="K94" s="281"/>
      <x:c r="L94" s="281"/>
      <x:c r="M94" s="281"/>
      <x:c r="N94" s="281"/>
      <x:c r="O94" s="281"/>
      <x:c r="P94" s="281"/>
      <x:c r="Q94" s="281"/>
      <x:c r="R94" s="281"/>
      <x:c r="S94" s="281"/>
      <x:c r="T94" s="281"/>
      <x:c r="U94" s="281"/>
      <x:c r="V94" s="281"/>
      <x:c r="W94" s="281"/>
      <x:c r="X94" s="281"/>
      <x:c r="Y94" s="281"/>
      <x:c r="Z94" s="281"/>
      <x:c r="AA94" s="281"/>
      <x:c r="AB94" s="281"/>
      <x:c r="AC94" s="281"/>
      <x:c r="AD94" s="281"/>
      <x:c r="AE94" s="281"/>
      <x:c r="AF94" s="281"/>
      <x:c r="AG94" s="281"/>
      <x:c r="AH94" s="281"/>
      <x:c r="AI94" s="281"/>
      <x:c r="AJ94" s="281"/>
      <x:c r="AK94" s="281"/>
      <x:c r="AL94" s="281"/>
      <x:c r="AM94" s="281"/>
      <x:c r="AN94" s="281"/>
    </x:row>
    <x:row r="95">
      <x:c r="A95" s="281"/>
      <x:c r="B95" s="281"/>
      <x:c r="C95" s="281"/>
      <x:c r="D95" s="281"/>
      <x:c r="E95" s="281"/>
      <x:c r="F95" s="281"/>
      <x:c r="G95" s="281"/>
      <x:c r="H95" s="281"/>
      <x:c r="I95" s="281"/>
      <x:c r="J95" s="281"/>
      <x:c r="K95" s="281"/>
      <x:c r="L95" s="281"/>
      <x:c r="M95" s="281"/>
      <x:c r="N95" s="281"/>
      <x:c r="O95" s="281"/>
      <x:c r="P95" s="281"/>
      <x:c r="Q95" s="281"/>
      <x:c r="R95" s="281"/>
      <x:c r="S95" s="281"/>
      <x:c r="T95" s="281"/>
      <x:c r="U95" s="281"/>
      <x:c r="V95" s="281"/>
      <x:c r="W95" s="281"/>
      <x:c r="X95" s="281"/>
      <x:c r="Y95" s="281"/>
      <x:c r="Z95" s="281"/>
      <x:c r="AA95" s="281"/>
      <x:c r="AB95" s="281"/>
      <x:c r="AC95" s="281"/>
      <x:c r="AD95" s="281"/>
      <x:c r="AE95" s="281"/>
      <x:c r="AF95" s="281"/>
      <x:c r="AG95" s="281"/>
      <x:c r="AH95" s="281"/>
      <x:c r="AI95" s="281"/>
      <x:c r="AJ95" s="281"/>
      <x:c r="AK95" s="281"/>
      <x:c r="AL95" s="281"/>
      <x:c r="AM95" s="281"/>
      <x:c r="AN95" s="281"/>
    </x:row>
    <x:row r="96">
      <x:c r="A96" s="281"/>
      <x:c r="B96" s="281"/>
      <x:c r="C96" s="281"/>
      <x:c r="D96" s="281"/>
      <x:c r="E96" s="281"/>
      <x:c r="F96" s="281"/>
      <x:c r="G96" s="281"/>
      <x:c r="H96" s="281"/>
      <x:c r="I96" s="281"/>
      <x:c r="J96" s="281"/>
      <x:c r="K96" s="281"/>
      <x:c r="L96" s="281"/>
      <x:c r="M96" s="281"/>
      <x:c r="N96" s="281"/>
      <x:c r="O96" s="281"/>
      <x:c r="P96" s="281"/>
      <x:c r="Q96" s="281"/>
      <x:c r="R96" s="281"/>
      <x:c r="S96" s="281"/>
      <x:c r="T96" s="281"/>
      <x:c r="U96" s="281"/>
      <x:c r="V96" s="281"/>
      <x:c r="W96" s="281"/>
      <x:c r="X96" s="281"/>
      <x:c r="Y96" s="281"/>
      <x:c r="Z96" s="281"/>
      <x:c r="AA96" s="281"/>
      <x:c r="AB96" s="281"/>
      <x:c r="AC96" s="281"/>
      <x:c r="AD96" s="281"/>
      <x:c r="AE96" s="281"/>
      <x:c r="AF96" s="281"/>
      <x:c r="AG96" s="281"/>
      <x:c r="AH96" s="281"/>
      <x:c r="AI96" s="281"/>
      <x:c r="AJ96" s="281"/>
      <x:c r="AK96" s="281"/>
      <x:c r="AL96" s="281"/>
      <x:c r="AM96" s="281"/>
      <x:c r="AN96" s="281"/>
    </x:row>
    <x:row r="97">
      <x:c r="A97" s="281"/>
      <x:c r="B97" s="281"/>
      <x:c r="C97" s="281"/>
      <x:c r="D97" s="281"/>
      <x:c r="E97" s="281"/>
      <x:c r="F97" s="281"/>
      <x:c r="G97" s="281"/>
      <x:c r="H97" s="281"/>
      <x:c r="I97" s="281"/>
      <x:c r="J97" s="281"/>
      <x:c r="K97" s="281"/>
      <x:c r="L97" s="281"/>
      <x:c r="M97" s="281"/>
      <x:c r="N97" s="281"/>
      <x:c r="O97" s="281"/>
      <x:c r="P97" s="281"/>
      <x:c r="Q97" s="281"/>
      <x:c r="R97" s="281"/>
      <x:c r="S97" s="281"/>
      <x:c r="T97" s="281"/>
      <x:c r="U97" s="281"/>
      <x:c r="V97" s="281"/>
      <x:c r="W97" s="281"/>
      <x:c r="X97" s="281"/>
      <x:c r="Y97" s="281"/>
      <x:c r="Z97" s="281"/>
      <x:c r="AA97" s="281"/>
      <x:c r="AB97" s="281"/>
      <x:c r="AC97" s="281"/>
      <x:c r="AD97" s="281"/>
      <x:c r="AE97" s="281"/>
      <x:c r="AF97" s="281"/>
      <x:c r="AG97" s="281"/>
      <x:c r="AH97" s="281"/>
      <x:c r="AI97" s="281"/>
      <x:c r="AJ97" s="281"/>
      <x:c r="AK97" s="281"/>
      <x:c r="AL97" s="281"/>
      <x:c r="AM97" s="281"/>
      <x:c r="AN97" s="281"/>
    </x:row>
    <x:row r="98">
      <x:c r="A98" s="281"/>
      <x:c r="B98" s="281"/>
      <x:c r="C98" s="281"/>
      <x:c r="D98" s="281"/>
      <x:c r="E98" s="281"/>
      <x:c r="F98" s="281"/>
      <x:c r="G98" s="281"/>
      <x:c r="H98" s="281"/>
      <x:c r="I98" s="281"/>
      <x:c r="J98" s="281"/>
      <x:c r="K98" s="281"/>
      <x:c r="L98" s="281"/>
      <x:c r="M98" s="281"/>
      <x:c r="N98" s="281"/>
      <x:c r="O98" s="281"/>
      <x:c r="P98" s="281"/>
      <x:c r="Q98" s="281"/>
      <x:c r="R98" s="281"/>
      <x:c r="S98" s="281"/>
      <x:c r="T98" s="281"/>
      <x:c r="U98" s="281"/>
      <x:c r="V98" s="281"/>
      <x:c r="W98" s="281"/>
      <x:c r="X98" s="281"/>
      <x:c r="Y98" s="281"/>
      <x:c r="Z98" s="281"/>
      <x:c r="AA98" s="281"/>
      <x:c r="AB98" s="281"/>
      <x:c r="AC98" s="281"/>
      <x:c r="AD98" s="281"/>
      <x:c r="AE98" s="281"/>
      <x:c r="AF98" s="281"/>
      <x:c r="AG98" s="281"/>
      <x:c r="AH98" s="281"/>
      <x:c r="AI98" s="281"/>
      <x:c r="AJ98" s="281"/>
      <x:c r="AK98" s="281"/>
      <x:c r="AL98" s="281"/>
      <x:c r="AM98" s="281"/>
      <x:c r="AN98" s="281"/>
    </x:row>
    <x:row r="99">
      <x:c r="A99" s="281"/>
      <x:c r="B99" s="281"/>
      <x:c r="C99" s="281"/>
      <x:c r="D99" s="281"/>
      <x:c r="E99" s="281"/>
      <x:c r="F99" s="281"/>
      <x:c r="G99" s="281"/>
      <x:c r="H99" s="281"/>
      <x:c r="I99" s="281"/>
      <x:c r="J99" s="281"/>
      <x:c r="K99" s="281"/>
      <x:c r="L99" s="281"/>
      <x:c r="M99" s="281"/>
      <x:c r="N99" s="281"/>
      <x:c r="O99" s="281"/>
      <x:c r="P99" s="281"/>
      <x:c r="Q99" s="281"/>
      <x:c r="R99" s="281"/>
      <x:c r="S99" s="281"/>
      <x:c r="T99" s="281"/>
      <x:c r="U99" s="281"/>
      <x:c r="V99" s="281"/>
      <x:c r="W99" s="281"/>
      <x:c r="X99" s="281"/>
      <x:c r="Y99" s="281"/>
      <x:c r="Z99" s="281"/>
      <x:c r="AA99" s="281"/>
      <x:c r="AB99" s="281"/>
      <x:c r="AC99" s="281"/>
      <x:c r="AD99" s="281"/>
      <x:c r="AE99" s="281"/>
      <x:c r="AF99" s="281"/>
      <x:c r="AG99" s="281"/>
      <x:c r="AH99" s="281"/>
      <x:c r="AI99" s="281"/>
      <x:c r="AJ99" s="281"/>
      <x:c r="AK99" s="281"/>
      <x:c r="AL99" s="281"/>
      <x:c r="AM99" s="281"/>
      <x:c r="AN99" s="281"/>
    </x:row>
    <x:row r="100">
      <x:c r="A100" s="281"/>
      <x:c r="B100" s="281"/>
      <x:c r="C100" s="281"/>
      <x:c r="D100" s="281"/>
      <x:c r="E100" s="281"/>
      <x:c r="F100" s="281"/>
      <x:c r="G100" s="281"/>
      <x:c r="H100" s="281"/>
      <x:c r="I100" s="281"/>
      <x:c r="J100" s="281"/>
      <x:c r="K100" s="281"/>
      <x:c r="L100" s="281"/>
      <x:c r="M100" s="281"/>
      <x:c r="N100" s="281"/>
      <x:c r="O100" s="281"/>
      <x:c r="P100" s="281"/>
      <x:c r="Q100" s="281"/>
      <x:c r="R100" s="281"/>
      <x:c r="S100" s="281"/>
      <x:c r="T100" s="281"/>
      <x:c r="U100" s="281"/>
      <x:c r="V100" s="281"/>
      <x:c r="W100" s="281"/>
      <x:c r="X100" s="281"/>
      <x:c r="Y100" s="281"/>
      <x:c r="Z100" s="281"/>
      <x:c r="AA100" s="281"/>
      <x:c r="AB100" s="281"/>
      <x:c r="AC100" s="281"/>
      <x:c r="AD100" s="281"/>
      <x:c r="AE100" s="281"/>
      <x:c r="AF100" s="281"/>
      <x:c r="AG100" s="281"/>
      <x:c r="AH100" s="281"/>
      <x:c r="AI100" s="281"/>
      <x:c r="AJ100" s="281"/>
      <x:c r="AK100" s="281"/>
      <x:c r="AL100" s="281"/>
      <x:c r="AM100" s="281"/>
      <x:c r="AN100" s="281"/>
    </x:row>
    <x:row r="101">
      <x:c r="A101" s="281"/>
      <x:c r="B101" s="281"/>
      <x:c r="C101" s="281"/>
      <x:c r="D101" s="281"/>
      <x:c r="E101" s="281"/>
      <x:c r="F101" s="281"/>
      <x:c r="G101" s="281"/>
      <x:c r="H101" s="281"/>
      <x:c r="I101" s="281"/>
      <x:c r="J101" s="281"/>
      <x:c r="K101" s="281"/>
      <x:c r="L101" s="281"/>
      <x:c r="M101" s="281"/>
      <x:c r="N101" s="281"/>
      <x:c r="O101" s="281"/>
      <x:c r="P101" s="281"/>
      <x:c r="Q101" s="281"/>
      <x:c r="R101" s="281"/>
      <x:c r="S101" s="281"/>
      <x:c r="T101" s="281"/>
      <x:c r="U101" s="281"/>
      <x:c r="V101" s="281"/>
      <x:c r="W101" s="281"/>
      <x:c r="X101" s="281"/>
      <x:c r="Y101" s="281"/>
      <x:c r="Z101" s="281"/>
      <x:c r="AA101" s="281"/>
      <x:c r="AB101" s="281"/>
      <x:c r="AC101" s="281"/>
      <x:c r="AD101" s="281"/>
      <x:c r="AE101" s="281"/>
      <x:c r="AF101" s="281"/>
      <x:c r="AG101" s="281"/>
      <x:c r="AH101" s="281"/>
      <x:c r="AI101" s="281"/>
      <x:c r="AJ101" s="281"/>
      <x:c r="AK101" s="281"/>
      <x:c r="AL101" s="281"/>
      <x:c r="AM101" s="281"/>
      <x:c r="AN101" s="281"/>
    </x:row>
    <x:row r="102">
      <x:c r="A102" s="281"/>
      <x:c r="B102" s="281"/>
      <x:c r="C102" s="281"/>
      <x:c r="D102" s="281"/>
      <x:c r="E102" s="281"/>
      <x:c r="F102" s="281"/>
      <x:c r="G102" s="281"/>
      <x:c r="H102" s="281"/>
      <x:c r="I102" s="281"/>
      <x:c r="J102" s="281"/>
      <x:c r="K102" s="281"/>
      <x:c r="L102" s="281"/>
      <x:c r="M102" s="281"/>
      <x:c r="N102" s="281"/>
      <x:c r="O102" s="281"/>
      <x:c r="P102" s="281"/>
      <x:c r="Q102" s="281"/>
      <x:c r="R102" s="281"/>
      <x:c r="S102" s="281"/>
      <x:c r="T102" s="281"/>
      <x:c r="U102" s="281"/>
      <x:c r="V102" s="281"/>
      <x:c r="W102" s="281"/>
      <x:c r="X102" s="281"/>
      <x:c r="Y102" s="281"/>
      <x:c r="Z102" s="281"/>
      <x:c r="AA102" s="281"/>
      <x:c r="AB102" s="281"/>
      <x:c r="AC102" s="281"/>
      <x:c r="AD102" s="281"/>
      <x:c r="AE102" s="281"/>
      <x:c r="AF102" s="281"/>
      <x:c r="AG102" s="281"/>
      <x:c r="AH102" s="281"/>
      <x:c r="AI102" s="281"/>
      <x:c r="AJ102" s="281"/>
      <x:c r="AK102" s="281"/>
      <x:c r="AL102" s="281"/>
      <x:c r="AM102" s="281"/>
      <x:c r="AN102" s="281"/>
    </x:row>
    <x:row r="103">
      <x:c r="A103" s="281"/>
      <x:c r="B103" s="281"/>
      <x:c r="C103" s="281"/>
      <x:c r="D103" s="281"/>
      <x:c r="E103" s="281"/>
      <x:c r="F103" s="281"/>
      <x:c r="G103" s="281"/>
      <x:c r="H103" s="281"/>
      <x:c r="I103" s="281"/>
      <x:c r="J103" s="281"/>
      <x:c r="K103" s="281"/>
      <x:c r="L103" s="281"/>
      <x:c r="M103" s="281"/>
      <x:c r="N103" s="281"/>
      <x:c r="O103" s="281"/>
      <x:c r="P103" s="281"/>
      <x:c r="Q103" s="281"/>
      <x:c r="R103" s="281"/>
      <x:c r="S103" s="281"/>
      <x:c r="T103" s="281"/>
      <x:c r="U103" s="281"/>
      <x:c r="V103" s="281"/>
      <x:c r="W103" s="281"/>
      <x:c r="X103" s="281"/>
      <x:c r="Y103" s="281"/>
      <x:c r="Z103" s="281"/>
      <x:c r="AA103" s="281"/>
      <x:c r="AB103" s="281"/>
      <x:c r="AC103" s="281"/>
      <x:c r="AD103" s="281"/>
      <x:c r="AE103" s="281"/>
      <x:c r="AF103" s="281"/>
      <x:c r="AG103" s="281"/>
      <x:c r="AH103" s="281"/>
      <x:c r="AI103" s="281"/>
      <x:c r="AJ103" s="281"/>
      <x:c r="AK103" s="281"/>
      <x:c r="AL103" s="281"/>
      <x:c r="AM103" s="281"/>
      <x:c r="AN103" s="281"/>
    </x:row>
    <x:row r="104">
      <x:c r="A104" s="281"/>
      <x:c r="B104" s="281"/>
      <x:c r="C104" s="281"/>
      <x:c r="D104" s="281"/>
      <x:c r="E104" s="281"/>
      <x:c r="F104" s="281"/>
      <x:c r="G104" s="281"/>
      <x:c r="H104" s="281"/>
      <x:c r="I104" s="281"/>
      <x:c r="J104" s="281"/>
      <x:c r="K104" s="281"/>
      <x:c r="L104" s="281"/>
      <x:c r="M104" s="281"/>
      <x:c r="N104" s="281"/>
      <x:c r="O104" s="281"/>
      <x:c r="P104" s="281"/>
      <x:c r="Q104" s="281"/>
      <x:c r="R104" s="281"/>
      <x:c r="S104" s="281"/>
      <x:c r="T104" s="281"/>
      <x:c r="U104" s="281"/>
      <x:c r="V104" s="281"/>
      <x:c r="W104" s="281"/>
      <x:c r="X104" s="281"/>
      <x:c r="Y104" s="281"/>
      <x:c r="Z104" s="281"/>
      <x:c r="AA104" s="281"/>
      <x:c r="AB104" s="281"/>
      <x:c r="AC104" s="281"/>
      <x:c r="AD104" s="281"/>
      <x:c r="AE104" s="281"/>
      <x:c r="AF104" s="281"/>
      <x:c r="AG104" s="281"/>
      <x:c r="AH104" s="281"/>
      <x:c r="AI104" s="281"/>
      <x:c r="AJ104" s="281"/>
      <x:c r="AK104" s="281"/>
      <x:c r="AL104" s="281"/>
      <x:c r="AM104" s="281"/>
      <x:c r="AN104" s="281"/>
    </x:row>
    <x:row r="105">
      <x:c r="A105" s="281"/>
      <x:c r="B105" s="281"/>
      <x:c r="C105" s="281"/>
      <x:c r="D105" s="281"/>
      <x:c r="E105" s="281"/>
      <x:c r="F105" s="281"/>
      <x:c r="G105" s="281"/>
      <x:c r="H105" s="281"/>
      <x:c r="I105" s="281"/>
      <x:c r="J105" s="281"/>
      <x:c r="K105" s="281"/>
      <x:c r="L105" s="281"/>
      <x:c r="M105" s="281"/>
      <x:c r="N105" s="281"/>
      <x:c r="O105" s="281"/>
      <x:c r="P105" s="281"/>
      <x:c r="Q105" s="281"/>
      <x:c r="R105" s="281"/>
      <x:c r="S105" s="281"/>
      <x:c r="T105" s="281"/>
      <x:c r="U105" s="281"/>
      <x:c r="V105" s="281"/>
      <x:c r="W105" s="281"/>
      <x:c r="X105" s="281"/>
      <x:c r="Y105" s="281"/>
      <x:c r="Z105" s="281"/>
      <x:c r="AA105" s="281"/>
      <x:c r="AB105" s="281"/>
      <x:c r="AC105" s="281"/>
      <x:c r="AD105" s="281"/>
      <x:c r="AE105" s="281"/>
      <x:c r="AF105" s="281"/>
      <x:c r="AG105" s="281"/>
      <x:c r="AH105" s="281"/>
      <x:c r="AI105" s="281"/>
      <x:c r="AJ105" s="281"/>
      <x:c r="AK105" s="281"/>
      <x:c r="AL105" s="281"/>
      <x:c r="AM105" s="281"/>
      <x:c r="AN105" s="281"/>
    </x:row>
    <x:row r="106">
      <x:c r="A106" s="281"/>
      <x:c r="B106" s="281"/>
      <x:c r="C106" s="281"/>
      <x:c r="D106" s="281"/>
      <x:c r="E106" s="281"/>
      <x:c r="F106" s="281"/>
      <x:c r="G106" s="281"/>
      <x:c r="H106" s="281"/>
      <x:c r="I106" s="281"/>
      <x:c r="J106" s="281"/>
      <x:c r="K106" s="281"/>
      <x:c r="L106" s="281"/>
      <x:c r="M106" s="281"/>
      <x:c r="N106" s="281"/>
      <x:c r="O106" s="281"/>
      <x:c r="P106" s="281"/>
      <x:c r="Q106" s="281"/>
      <x:c r="R106" s="281"/>
      <x:c r="S106" s="281"/>
      <x:c r="T106" s="281"/>
      <x:c r="U106" s="281"/>
      <x:c r="V106" s="281"/>
      <x:c r="W106" s="281"/>
      <x:c r="X106" s="281"/>
      <x:c r="Y106" s="281"/>
      <x:c r="Z106" s="281"/>
      <x:c r="AA106" s="281"/>
      <x:c r="AB106" s="281"/>
      <x:c r="AC106" s="281"/>
      <x:c r="AD106" s="281"/>
      <x:c r="AE106" s="281"/>
      <x:c r="AF106" s="281"/>
      <x:c r="AG106" s="281"/>
      <x:c r="AH106" s="281"/>
      <x:c r="AI106" s="281"/>
      <x:c r="AJ106" s="281"/>
      <x:c r="AK106" s="281"/>
      <x:c r="AL106" s="281"/>
      <x:c r="AM106" s="281"/>
      <x:c r="AN106" s="281"/>
    </x:row>
    <x:row r="107">
      <x:c r="A107" s="281"/>
      <x:c r="B107" s="281"/>
      <x:c r="C107" s="281"/>
      <x:c r="D107" s="281"/>
      <x:c r="E107" s="281"/>
      <x:c r="F107" s="281"/>
      <x:c r="G107" s="281"/>
      <x:c r="H107" s="281"/>
      <x:c r="I107" s="281"/>
      <x:c r="J107" s="281"/>
      <x:c r="K107" s="281"/>
      <x:c r="L107" s="281"/>
      <x:c r="M107" s="281"/>
      <x:c r="N107" s="281"/>
      <x:c r="O107" s="281"/>
      <x:c r="P107" s="281"/>
      <x:c r="Q107" s="281"/>
      <x:c r="R107" s="281"/>
      <x:c r="S107" s="281"/>
      <x:c r="T107" s="281"/>
      <x:c r="U107" s="281"/>
      <x:c r="V107" s="281"/>
      <x:c r="W107" s="281"/>
      <x:c r="X107" s="281"/>
      <x:c r="Y107" s="281"/>
      <x:c r="Z107" s="281"/>
      <x:c r="AA107" s="281"/>
      <x:c r="AB107" s="281"/>
      <x:c r="AC107" s="281"/>
      <x:c r="AD107" s="281"/>
      <x:c r="AE107" s="281"/>
      <x:c r="AF107" s="281"/>
      <x:c r="AG107" s="281"/>
      <x:c r="AH107" s="281"/>
      <x:c r="AI107" s="281"/>
      <x:c r="AJ107" s="281"/>
      <x:c r="AK107" s="281"/>
      <x:c r="AL107" s="281"/>
      <x:c r="AM107" s="281"/>
      <x:c r="AN107" s="281"/>
    </x:row>
    <x:row r="108">
      <x:c r="A108" s="281"/>
      <x:c r="B108" s="281"/>
      <x:c r="C108" s="281"/>
      <x:c r="D108" s="281"/>
      <x:c r="E108" s="281"/>
      <x:c r="F108" s="281"/>
      <x:c r="G108" s="281"/>
      <x:c r="H108" s="281"/>
      <x:c r="I108" s="281"/>
      <x:c r="J108" s="281"/>
      <x:c r="K108" s="281"/>
      <x:c r="L108" s="281"/>
      <x:c r="M108" s="281"/>
      <x:c r="N108" s="281"/>
      <x:c r="O108" s="281"/>
      <x:c r="P108" s="281"/>
      <x:c r="Q108" s="281"/>
      <x:c r="R108" s="281"/>
      <x:c r="S108" s="281"/>
      <x:c r="T108" s="281"/>
      <x:c r="U108" s="281"/>
      <x:c r="V108" s="281"/>
      <x:c r="W108" s="281"/>
      <x:c r="X108" s="281"/>
      <x:c r="Y108" s="281"/>
      <x:c r="Z108" s="281"/>
      <x:c r="AA108" s="281"/>
      <x:c r="AB108" s="281"/>
      <x:c r="AC108" s="281"/>
      <x:c r="AD108" s="281"/>
      <x:c r="AE108" s="281"/>
      <x:c r="AF108" s="281"/>
      <x:c r="AG108" s="281"/>
      <x:c r="AH108" s="281"/>
      <x:c r="AI108" s="281"/>
      <x:c r="AJ108" s="281"/>
      <x:c r="AK108" s="281"/>
      <x:c r="AL108" s="281"/>
      <x:c r="AM108" s="281"/>
      <x:c r="AN108" s="281"/>
    </x:row>
    <x:row r="109">
      <x:c r="A109" s="281"/>
      <x:c r="B109" s="281"/>
      <x:c r="C109" s="281"/>
      <x:c r="D109" s="281"/>
      <x:c r="E109" s="281"/>
      <x:c r="F109" s="281"/>
      <x:c r="G109" s="281"/>
      <x:c r="H109" s="281"/>
      <x:c r="I109" s="281"/>
      <x:c r="J109" s="281"/>
      <x:c r="K109" s="281"/>
      <x:c r="L109" s="281"/>
      <x:c r="M109" s="281"/>
      <x:c r="N109" s="281"/>
      <x:c r="O109" s="281"/>
      <x:c r="P109" s="281"/>
      <x:c r="Q109" s="281"/>
      <x:c r="R109" s="281"/>
      <x:c r="S109" s="281"/>
      <x:c r="T109" s="281"/>
      <x:c r="U109" s="281"/>
      <x:c r="V109" s="281"/>
      <x:c r="W109" s="281"/>
      <x:c r="X109" s="281"/>
      <x:c r="Y109" s="281"/>
      <x:c r="Z109" s="281"/>
      <x:c r="AA109" s="281"/>
      <x:c r="AB109" s="281"/>
      <x:c r="AC109" s="281"/>
      <x:c r="AD109" s="281"/>
      <x:c r="AE109" s="281"/>
      <x:c r="AF109" s="281"/>
      <x:c r="AG109" s="281"/>
      <x:c r="AH109" s="281"/>
      <x:c r="AI109" s="281"/>
      <x:c r="AJ109" s="281"/>
      <x:c r="AK109" s="281"/>
      <x:c r="AL109" s="281"/>
      <x:c r="AM109" s="281"/>
      <x:c r="AN109" s="281"/>
    </x:row>
    <x:row r="110">
      <x:c r="A110" s="281"/>
      <x:c r="B110" s="281"/>
      <x:c r="C110" s="281"/>
      <x:c r="D110" s="281"/>
      <x:c r="E110" s="281"/>
      <x:c r="F110" s="281"/>
      <x:c r="G110" s="281"/>
      <x:c r="H110" s="281"/>
      <x:c r="I110" s="281"/>
      <x:c r="J110" s="281"/>
      <x:c r="K110" s="281"/>
      <x:c r="L110" s="281"/>
      <x:c r="M110" s="281"/>
      <x:c r="N110" s="281"/>
      <x:c r="O110" s="281"/>
      <x:c r="P110" s="281"/>
      <x:c r="Q110" s="281"/>
      <x:c r="R110" s="281"/>
      <x:c r="S110" s="281"/>
      <x:c r="T110" s="281"/>
      <x:c r="U110" s="281"/>
      <x:c r="V110" s="281"/>
      <x:c r="W110" s="281"/>
      <x:c r="X110" s="281"/>
      <x:c r="Y110" s="281"/>
      <x:c r="Z110" s="281"/>
      <x:c r="AA110" s="281"/>
      <x:c r="AB110" s="281"/>
      <x:c r="AC110" s="281"/>
      <x:c r="AD110" s="281"/>
      <x:c r="AE110" s="281"/>
      <x:c r="AF110" s="281"/>
      <x:c r="AG110" s="281"/>
      <x:c r="AH110" s="281"/>
      <x:c r="AI110" s="281"/>
      <x:c r="AJ110" s="281"/>
      <x:c r="AK110" s="281"/>
      <x:c r="AL110" s="281"/>
      <x:c r="AM110" s="281"/>
      <x:c r="AN110" s="281"/>
    </x:row>
    <x:row r="111">
      <x:c r="A111" s="281"/>
      <x:c r="B111" s="281"/>
      <x:c r="C111" s="281"/>
      <x:c r="D111" s="281"/>
      <x:c r="E111" s="281"/>
      <x:c r="F111" s="281"/>
      <x:c r="G111" s="281"/>
      <x:c r="H111" s="281"/>
      <x:c r="I111" s="281"/>
      <x:c r="J111" s="281"/>
      <x:c r="K111" s="281"/>
      <x:c r="L111" s="281"/>
      <x:c r="M111" s="281"/>
      <x:c r="N111" s="281"/>
      <x:c r="O111" s="281"/>
      <x:c r="P111" s="281"/>
      <x:c r="Q111" s="281"/>
      <x:c r="R111" s="281"/>
      <x:c r="S111" s="281"/>
      <x:c r="T111" s="281"/>
      <x:c r="U111" s="281"/>
      <x:c r="V111" s="281"/>
      <x:c r="W111" s="281"/>
      <x:c r="X111" s="281"/>
      <x:c r="Y111" s="281"/>
      <x:c r="Z111" s="281"/>
      <x:c r="AA111" s="281"/>
      <x:c r="AB111" s="281"/>
      <x:c r="AC111" s="281"/>
      <x:c r="AD111" s="281"/>
      <x:c r="AE111" s="281"/>
      <x:c r="AF111" s="281"/>
      <x:c r="AG111" s="281"/>
      <x:c r="AH111" s="281"/>
      <x:c r="AI111" s="281"/>
      <x:c r="AJ111" s="281"/>
      <x:c r="AK111" s="281"/>
      <x:c r="AL111" s="281"/>
      <x:c r="AM111" s="281"/>
      <x:c r="AN111" s="281"/>
    </x:row>
    <x:row r="112">
      <x:c r="A112" s="281"/>
      <x:c r="B112" s="281"/>
      <x:c r="C112" s="281"/>
      <x:c r="D112" s="281"/>
      <x:c r="E112" s="281"/>
      <x:c r="F112" s="281"/>
      <x:c r="G112" s="281"/>
      <x:c r="H112" s="281"/>
      <x:c r="I112" s="281"/>
      <x:c r="J112" s="281"/>
      <x:c r="K112" s="281"/>
      <x:c r="L112" s="281"/>
      <x:c r="M112" s="281"/>
      <x:c r="N112" s="281"/>
      <x:c r="O112" s="281"/>
      <x:c r="P112" s="281"/>
      <x:c r="Q112" s="281"/>
      <x:c r="R112" s="281"/>
      <x:c r="S112" s="281"/>
      <x:c r="T112" s="281"/>
      <x:c r="U112" s="281"/>
      <x:c r="V112" s="281"/>
      <x:c r="W112" s="281"/>
      <x:c r="X112" s="281"/>
      <x:c r="Y112" s="281"/>
      <x:c r="Z112" s="281"/>
      <x:c r="AA112" s="281"/>
      <x:c r="AB112" s="281"/>
      <x:c r="AC112" s="281"/>
      <x:c r="AD112" s="281"/>
      <x:c r="AE112" s="281"/>
      <x:c r="AF112" s="281"/>
      <x:c r="AG112" s="281"/>
      <x:c r="AH112" s="281"/>
      <x:c r="AI112" s="281"/>
      <x:c r="AJ112" s="281"/>
      <x:c r="AK112" s="281"/>
      <x:c r="AL112" s="281"/>
      <x:c r="AM112" s="281"/>
      <x:c r="AN112" s="281"/>
    </x:row>
    <x:row r="113">
      <x:c r="A113" s="281"/>
      <x:c r="B113" s="281"/>
      <x:c r="C113" s="281"/>
      <x:c r="D113" s="281"/>
      <x:c r="E113" s="281"/>
      <x:c r="F113" s="281"/>
      <x:c r="G113" s="281"/>
      <x:c r="H113" s="281"/>
      <x:c r="I113" s="281"/>
      <x:c r="J113" s="281"/>
      <x:c r="K113" s="281"/>
      <x:c r="L113" s="281"/>
      <x:c r="M113" s="281"/>
      <x:c r="N113" s="281"/>
      <x:c r="O113" s="281"/>
      <x:c r="P113" s="281"/>
      <x:c r="Q113" s="281"/>
      <x:c r="R113" s="281"/>
      <x:c r="S113" s="281"/>
      <x:c r="T113" s="281"/>
      <x:c r="U113" s="281"/>
      <x:c r="V113" s="281"/>
      <x:c r="W113" s="281"/>
      <x:c r="X113" s="281"/>
      <x:c r="Y113" s="281"/>
      <x:c r="Z113" s="281"/>
      <x:c r="AA113" s="281"/>
      <x:c r="AB113" s="281"/>
      <x:c r="AC113" s="281"/>
      <x:c r="AD113" s="281"/>
      <x:c r="AE113" s="281"/>
      <x:c r="AF113" s="281"/>
      <x:c r="AG113" s="281"/>
      <x:c r="AH113" s="281"/>
      <x:c r="AI113" s="281"/>
      <x:c r="AJ113" s="281"/>
      <x:c r="AK113" s="281"/>
      <x:c r="AL113" s="281"/>
      <x:c r="AM113" s="281"/>
      <x:c r="AN113" s="281"/>
    </x:row>
    <x:row r="114">
      <x:c r="A114" s="281"/>
      <x:c r="B114" s="281"/>
      <x:c r="C114" s="281"/>
      <x:c r="D114" s="281"/>
      <x:c r="E114" s="281"/>
      <x:c r="F114" s="281"/>
      <x:c r="G114" s="281"/>
      <x:c r="H114" s="281"/>
      <x:c r="I114" s="281"/>
      <x:c r="J114" s="281"/>
      <x:c r="K114" s="281"/>
      <x:c r="L114" s="281"/>
      <x:c r="M114" s="281"/>
      <x:c r="N114" s="281"/>
      <x:c r="O114" s="281"/>
      <x:c r="P114" s="281"/>
      <x:c r="Q114" s="281"/>
      <x:c r="R114" s="281"/>
      <x:c r="S114" s="281"/>
      <x:c r="T114" s="281"/>
      <x:c r="U114" s="281"/>
      <x:c r="V114" s="281"/>
      <x:c r="W114" s="281"/>
      <x:c r="X114" s="281"/>
      <x:c r="Y114" s="281"/>
      <x:c r="Z114" s="281"/>
      <x:c r="AA114" s="281"/>
      <x:c r="AB114" s="281"/>
      <x:c r="AC114" s="281"/>
      <x:c r="AD114" s="281"/>
      <x:c r="AE114" s="281"/>
      <x:c r="AF114" s="281"/>
      <x:c r="AG114" s="281"/>
      <x:c r="AH114" s="281"/>
      <x:c r="AI114" s="281"/>
      <x:c r="AJ114" s="281"/>
      <x:c r="AK114" s="281"/>
      <x:c r="AL114" s="281"/>
      <x:c r="AM114" s="281"/>
      <x:c r="AN114" s="281"/>
    </x:row>
    <x:row r="115">
      <x:c r="A115" s="281"/>
      <x:c r="B115" s="281"/>
      <x:c r="C115" s="281"/>
      <x:c r="D115" s="281"/>
      <x:c r="E115" s="281"/>
      <x:c r="F115" s="281"/>
      <x:c r="G115" s="281"/>
      <x:c r="H115" s="281"/>
      <x:c r="I115" s="281"/>
      <x:c r="J115" s="281"/>
      <x:c r="K115" s="281"/>
      <x:c r="L115" s="281"/>
      <x:c r="M115" s="281"/>
      <x:c r="N115" s="281"/>
      <x:c r="O115" s="281"/>
      <x:c r="P115" s="281"/>
      <x:c r="Q115" s="281"/>
      <x:c r="R115" s="281"/>
      <x:c r="S115" s="281"/>
      <x:c r="T115" s="281"/>
      <x:c r="U115" s="281"/>
      <x:c r="V115" s="281"/>
      <x:c r="W115" s="281"/>
      <x:c r="X115" s="281"/>
      <x:c r="Y115" s="281"/>
      <x:c r="Z115" s="281"/>
      <x:c r="AA115" s="281"/>
      <x:c r="AB115" s="281"/>
      <x:c r="AC115" s="281"/>
      <x:c r="AD115" s="281"/>
      <x:c r="AE115" s="281"/>
      <x:c r="AF115" s="281"/>
      <x:c r="AG115" s="281"/>
      <x:c r="AH115" s="281"/>
      <x:c r="AI115" s="281"/>
      <x:c r="AJ115" s="281"/>
      <x:c r="AK115" s="281"/>
      <x:c r="AL115" s="281"/>
      <x:c r="AM115" s="281"/>
      <x:c r="AN115" s="281"/>
    </x:row>
    <x:row r="116">
      <x:c r="A116" s="281"/>
      <x:c r="B116" s="281"/>
      <x:c r="C116" s="281"/>
      <x:c r="D116" s="281"/>
      <x:c r="E116" s="281"/>
      <x:c r="F116" s="281"/>
      <x:c r="G116" s="281"/>
      <x:c r="H116" s="281"/>
      <x:c r="I116" s="281"/>
      <x:c r="J116" s="281"/>
      <x:c r="K116" s="281"/>
      <x:c r="L116" s="281"/>
      <x:c r="M116" s="281"/>
      <x:c r="N116" s="281"/>
      <x:c r="O116" s="281"/>
      <x:c r="P116" s="281"/>
      <x:c r="Q116" s="281"/>
      <x:c r="R116" s="281"/>
      <x:c r="S116" s="281"/>
      <x:c r="T116" s="281"/>
      <x:c r="U116" s="281"/>
      <x:c r="V116" s="281"/>
      <x:c r="W116" s="281"/>
      <x:c r="X116" s="281"/>
      <x:c r="Y116" s="281"/>
      <x:c r="Z116" s="281"/>
      <x:c r="AA116" s="281"/>
      <x:c r="AB116" s="281"/>
      <x:c r="AC116" s="281"/>
      <x:c r="AD116" s="281"/>
      <x:c r="AE116" s="281"/>
      <x:c r="AF116" s="281"/>
      <x:c r="AG116" s="281"/>
      <x:c r="AH116" s="281"/>
      <x:c r="AI116" s="281"/>
      <x:c r="AJ116" s="281"/>
      <x:c r="AK116" s="281"/>
      <x:c r="AL116" s="281"/>
      <x:c r="AM116" s="281"/>
      <x:c r="AN116" s="281"/>
    </x:row>
    <x:row r="117">
      <x:c r="A117" s="281"/>
      <x:c r="B117" s="281"/>
      <x:c r="C117" s="281"/>
      <x:c r="D117" s="281"/>
      <x:c r="E117" s="281"/>
      <x:c r="F117" s="281"/>
      <x:c r="G117" s="281"/>
      <x:c r="H117" s="281"/>
      <x:c r="I117" s="281"/>
      <x:c r="J117" s="281"/>
      <x:c r="K117" s="281"/>
      <x:c r="L117" s="281"/>
      <x:c r="M117" s="281"/>
      <x:c r="N117" s="281"/>
      <x:c r="O117" s="281"/>
      <x:c r="P117" s="281"/>
      <x:c r="Q117" s="281"/>
      <x:c r="R117" s="281"/>
      <x:c r="S117" s="281"/>
      <x:c r="T117" s="281"/>
      <x:c r="U117" s="281"/>
      <x:c r="V117" s="281"/>
      <x:c r="W117" s="281"/>
      <x:c r="X117" s="281"/>
      <x:c r="Y117" s="281"/>
      <x:c r="Z117" s="281"/>
      <x:c r="AA117" s="281"/>
      <x:c r="AB117" s="281"/>
      <x:c r="AC117" s="281"/>
      <x:c r="AD117" s="281"/>
      <x:c r="AE117" s="281"/>
      <x:c r="AF117" s="281"/>
      <x:c r="AG117" s="281"/>
      <x:c r="AH117" s="281"/>
      <x:c r="AI117" s="281"/>
      <x:c r="AJ117" s="281"/>
      <x:c r="AK117" s="281"/>
      <x:c r="AL117" s="281"/>
      <x:c r="AM117" s="281"/>
      <x:c r="AN117" s="281"/>
    </x:row>
    <x:row r="118">
      <x:c r="A118" s="281"/>
      <x:c r="B118" s="281"/>
      <x:c r="C118" s="281"/>
      <x:c r="D118" s="281"/>
      <x:c r="E118" s="281"/>
      <x:c r="F118" s="281"/>
      <x:c r="G118" s="281"/>
      <x:c r="H118" s="281"/>
      <x:c r="I118" s="281"/>
      <x:c r="J118" s="281"/>
      <x:c r="K118" s="281"/>
      <x:c r="L118" s="281"/>
      <x:c r="M118" s="281"/>
      <x:c r="N118" s="281"/>
      <x:c r="O118" s="281"/>
      <x:c r="P118" s="281"/>
      <x:c r="Q118" s="281"/>
      <x:c r="R118" s="281"/>
      <x:c r="S118" s="281"/>
      <x:c r="T118" s="281"/>
      <x:c r="U118" s="281"/>
      <x:c r="V118" s="281"/>
      <x:c r="W118" s="281"/>
      <x:c r="X118" s="281"/>
      <x:c r="Y118" s="281"/>
      <x:c r="Z118" s="281"/>
      <x:c r="AA118" s="281"/>
      <x:c r="AB118" s="281"/>
      <x:c r="AC118" s="281"/>
      <x:c r="AD118" s="281"/>
      <x:c r="AE118" s="281"/>
      <x:c r="AF118" s="281"/>
      <x:c r="AG118" s="281"/>
      <x:c r="AH118" s="281"/>
      <x:c r="AI118" s="281"/>
      <x:c r="AJ118" s="281"/>
      <x:c r="AK118" s="281"/>
      <x:c r="AL118" s="281"/>
      <x:c r="AM118" s="281"/>
      <x:c r="AN118" s="281"/>
    </x:row>
    <x:row r="119">
      <x:c r="A119" s="281"/>
      <x:c r="B119" s="281"/>
      <x:c r="C119" s="281"/>
      <x:c r="D119" s="281"/>
      <x:c r="E119" s="281"/>
      <x:c r="F119" s="281"/>
      <x:c r="G119" s="281"/>
      <x:c r="H119" s="281"/>
      <x:c r="I119" s="281"/>
      <x:c r="J119" s="281"/>
      <x:c r="K119" s="281"/>
      <x:c r="L119" s="281"/>
      <x:c r="M119" s="281"/>
      <x:c r="N119" s="281"/>
      <x:c r="O119" s="281"/>
      <x:c r="P119" s="281"/>
      <x:c r="Q119" s="281"/>
      <x:c r="R119" s="281"/>
      <x:c r="S119" s="281"/>
      <x:c r="T119" s="281"/>
      <x:c r="U119" s="281"/>
      <x:c r="V119" s="281"/>
      <x:c r="W119" s="281"/>
      <x:c r="X119" s="281"/>
      <x:c r="Y119" s="281"/>
      <x:c r="Z119" s="281"/>
      <x:c r="AA119" s="281"/>
      <x:c r="AB119" s="281"/>
      <x:c r="AC119" s="281"/>
      <x:c r="AD119" s="281"/>
      <x:c r="AE119" s="281"/>
      <x:c r="AF119" s="281"/>
      <x:c r="AG119" s="281"/>
      <x:c r="AH119" s="281"/>
      <x:c r="AI119" s="281"/>
      <x:c r="AJ119" s="281"/>
      <x:c r="AK119" s="281"/>
      <x:c r="AL119" s="281"/>
      <x:c r="AM119" s="281"/>
      <x:c r="AN119" s="281"/>
    </x:row>
    <x:row r="120">
      <x:c r="A120" s="281"/>
      <x:c r="B120" s="281"/>
      <x:c r="C120" s="281"/>
      <x:c r="D120" s="281"/>
      <x:c r="E120" s="281"/>
      <x:c r="F120" s="281"/>
      <x:c r="G120" s="281"/>
      <x:c r="H120" s="281"/>
      <x:c r="I120" s="281"/>
      <x:c r="J120" s="281"/>
      <x:c r="K120" s="281"/>
      <x:c r="L120" s="281"/>
      <x:c r="M120" s="281"/>
      <x:c r="N120" s="281"/>
      <x:c r="O120" s="281"/>
      <x:c r="P120" s="281"/>
      <x:c r="Q120" s="281"/>
      <x:c r="R120" s="281"/>
      <x:c r="S120" s="281"/>
      <x:c r="T120" s="281"/>
      <x:c r="U120" s="281"/>
      <x:c r="V120" s="281"/>
      <x:c r="W120" s="281"/>
      <x:c r="X120" s="281"/>
      <x:c r="Y120" s="281"/>
      <x:c r="Z120" s="281"/>
      <x:c r="AA120" s="281"/>
      <x:c r="AB120" s="281"/>
      <x:c r="AC120" s="281"/>
      <x:c r="AD120" s="281"/>
      <x:c r="AE120" s="281"/>
      <x:c r="AF120" s="281"/>
      <x:c r="AG120" s="281"/>
      <x:c r="AH120" s="281"/>
      <x:c r="AI120" s="281"/>
      <x:c r="AJ120" s="281"/>
      <x:c r="AK120" s="281"/>
      <x:c r="AL120" s="281"/>
      <x:c r="AM120" s="281"/>
      <x:c r="AN120" s="281"/>
    </x:row>
    <x:row r="121">
      <x:c r="A121" s="281"/>
      <x:c r="B121" s="281"/>
      <x:c r="C121" s="281"/>
      <x:c r="D121" s="281"/>
      <x:c r="E121" s="281"/>
      <x:c r="F121" s="281"/>
      <x:c r="G121" s="281"/>
      <x:c r="H121" s="281"/>
      <x:c r="I121" s="281"/>
      <x:c r="J121" s="281"/>
      <x:c r="K121" s="281"/>
      <x:c r="L121" s="281"/>
      <x:c r="M121" s="281"/>
      <x:c r="N121" s="281"/>
      <x:c r="O121" s="281"/>
      <x:c r="P121" s="281"/>
      <x:c r="Q121" s="281"/>
      <x:c r="R121" s="281"/>
      <x:c r="S121" s="281"/>
      <x:c r="T121" s="281"/>
      <x:c r="U121" s="281"/>
      <x:c r="V121" s="281"/>
      <x:c r="W121" s="281"/>
      <x:c r="X121" s="281"/>
      <x:c r="Y121" s="281"/>
      <x:c r="Z121" s="281"/>
      <x:c r="AA121" s="281"/>
      <x:c r="AB121" s="281"/>
      <x:c r="AC121" s="281"/>
      <x:c r="AD121" s="281"/>
      <x:c r="AE121" s="281"/>
      <x:c r="AF121" s="281"/>
      <x:c r="AG121" s="281"/>
      <x:c r="AH121" s="281"/>
      <x:c r="AI121" s="281"/>
      <x:c r="AJ121" s="281"/>
      <x:c r="AK121" s="281"/>
      <x:c r="AL121" s="281"/>
      <x:c r="AM121" s="281"/>
      <x:c r="AN121" s="281"/>
    </x:row>
    <x:row r="122">
      <x:c r="A122" s="281"/>
      <x:c r="B122" s="281"/>
      <x:c r="C122" s="281"/>
      <x:c r="D122" s="281"/>
      <x:c r="E122" s="281"/>
      <x:c r="F122" s="281"/>
      <x:c r="G122" s="281"/>
      <x:c r="H122" s="281"/>
      <x:c r="I122" s="281"/>
      <x:c r="J122" s="281"/>
      <x:c r="K122" s="281"/>
      <x:c r="L122" s="281"/>
      <x:c r="M122" s="281"/>
      <x:c r="N122" s="281"/>
      <x:c r="O122" s="281"/>
      <x:c r="P122" s="281"/>
      <x:c r="Q122" s="281"/>
      <x:c r="R122" s="281"/>
      <x:c r="S122" s="281"/>
      <x:c r="T122" s="281"/>
      <x:c r="U122" s="281"/>
      <x:c r="V122" s="281"/>
      <x:c r="W122" s="281"/>
      <x:c r="X122" s="281"/>
      <x:c r="Y122" s="281"/>
      <x:c r="Z122" s="281"/>
      <x:c r="AA122" s="281"/>
      <x:c r="AB122" s="281"/>
      <x:c r="AC122" s="281"/>
      <x:c r="AD122" s="281"/>
      <x:c r="AE122" s="281"/>
      <x:c r="AF122" s="281"/>
      <x:c r="AG122" s="281"/>
      <x:c r="AH122" s="281"/>
      <x:c r="AI122" s="281"/>
      <x:c r="AJ122" s="281"/>
      <x:c r="AK122" s="281"/>
      <x:c r="AL122" s="281"/>
      <x:c r="AM122" s="281"/>
      <x:c r="AN122" s="281"/>
    </x:row>
    <x:row r="123">
      <x:c r="A123" s="281"/>
      <x:c r="B123" s="281"/>
      <x:c r="C123" s="281"/>
      <x:c r="D123" s="281"/>
      <x:c r="E123" s="281"/>
      <x:c r="F123" s="281"/>
      <x:c r="G123" s="281"/>
      <x:c r="H123" s="281"/>
      <x:c r="I123" s="281"/>
      <x:c r="J123" s="281"/>
      <x:c r="K123" s="281"/>
      <x:c r="L123" s="281"/>
      <x:c r="M123" s="281"/>
      <x:c r="N123" s="281"/>
      <x:c r="O123" s="281"/>
      <x:c r="P123" s="281"/>
      <x:c r="Q123" s="281"/>
      <x:c r="R123" s="281"/>
      <x:c r="S123" s="281"/>
      <x:c r="T123" s="281"/>
      <x:c r="U123" s="281"/>
      <x:c r="V123" s="281"/>
      <x:c r="W123" s="281"/>
      <x:c r="X123" s="281"/>
      <x:c r="Y123" s="281"/>
      <x:c r="Z123" s="281"/>
      <x:c r="AA123" s="281"/>
      <x:c r="AB123" s="281"/>
      <x:c r="AC123" s="281"/>
      <x:c r="AD123" s="281"/>
      <x:c r="AE123" s="281"/>
      <x:c r="AF123" s="281"/>
      <x:c r="AG123" s="281"/>
      <x:c r="AH123" s="281"/>
      <x:c r="AI123" s="281"/>
      <x:c r="AJ123" s="281"/>
      <x:c r="AK123" s="281"/>
      <x:c r="AL123" s="281"/>
      <x:c r="AM123" s="281"/>
      <x:c r="AN123" s="281"/>
    </x:row>
    <x:row r="124">
      <x:c r="A124" s="281"/>
      <x:c r="B124" s="281"/>
      <x:c r="C124" s="281"/>
      <x:c r="D124" s="281"/>
      <x:c r="E124" s="281"/>
      <x:c r="F124" s="281"/>
      <x:c r="G124" s="281"/>
      <x:c r="H124" s="281"/>
      <x:c r="I124" s="281"/>
      <x:c r="J124" s="281"/>
      <x:c r="K124" s="281"/>
      <x:c r="L124" s="281"/>
      <x:c r="M124" s="281"/>
      <x:c r="N124" s="281"/>
      <x:c r="O124" s="281"/>
      <x:c r="P124" s="281"/>
      <x:c r="Q124" s="281"/>
      <x:c r="R124" s="281"/>
      <x:c r="S124" s="281"/>
      <x:c r="T124" s="281"/>
      <x:c r="U124" s="281"/>
      <x:c r="V124" s="281"/>
      <x:c r="W124" s="281"/>
      <x:c r="X124" s="281"/>
      <x:c r="Y124" s="281"/>
      <x:c r="Z124" s="281"/>
      <x:c r="AA124" s="281"/>
      <x:c r="AB124" s="281"/>
      <x:c r="AC124" s="281"/>
      <x:c r="AD124" s="281"/>
      <x:c r="AE124" s="281"/>
      <x:c r="AF124" s="281"/>
      <x:c r="AG124" s="281"/>
      <x:c r="AH124" s="281"/>
      <x:c r="AI124" s="281"/>
      <x:c r="AJ124" s="281"/>
      <x:c r="AK124" s="281"/>
      <x:c r="AL124" s="281"/>
      <x:c r="AM124" s="281"/>
      <x:c r="AN124" s="281"/>
    </x:row>
    <x:row r="125">
      <x:c r="A125" s="281"/>
      <x:c r="B125" s="281"/>
      <x:c r="C125" s="281"/>
      <x:c r="D125" s="281"/>
      <x:c r="E125" s="281"/>
      <x:c r="F125" s="281"/>
      <x:c r="G125" s="281"/>
      <x:c r="H125" s="281"/>
      <x:c r="I125" s="281"/>
      <x:c r="J125" s="281"/>
      <x:c r="K125" s="281"/>
      <x:c r="L125" s="281"/>
      <x:c r="M125" s="281"/>
      <x:c r="N125" s="281"/>
      <x:c r="O125" s="281"/>
      <x:c r="P125" s="281"/>
      <x:c r="Q125" s="281"/>
      <x:c r="R125" s="281"/>
      <x:c r="S125" s="281"/>
      <x:c r="T125" s="281"/>
      <x:c r="U125" s="281"/>
      <x:c r="V125" s="281"/>
      <x:c r="W125" s="281"/>
      <x:c r="X125" s="281"/>
      <x:c r="Y125" s="281"/>
      <x:c r="Z125" s="281"/>
      <x:c r="AA125" s="281"/>
      <x:c r="AB125" s="281"/>
      <x:c r="AC125" s="281"/>
      <x:c r="AD125" s="281"/>
      <x:c r="AE125" s="281"/>
      <x:c r="AF125" s="281"/>
      <x:c r="AG125" s="281"/>
      <x:c r="AH125" s="281"/>
      <x:c r="AI125" s="281"/>
      <x:c r="AJ125" s="281"/>
      <x:c r="AK125" s="281"/>
      <x:c r="AL125" s="281"/>
      <x:c r="AM125" s="281"/>
      <x:c r="AN125" s="281"/>
    </x:row>
    <x:row r="126">
      <x:c r="A126" s="281"/>
      <x:c r="B126" s="281"/>
      <x:c r="C126" s="281"/>
      <x:c r="D126" s="281"/>
      <x:c r="E126" s="281"/>
      <x:c r="F126" s="281"/>
      <x:c r="G126" s="281"/>
      <x:c r="H126" s="281"/>
      <x:c r="I126" s="281"/>
      <x:c r="J126" s="281"/>
      <x:c r="K126" s="281"/>
      <x:c r="L126" s="281"/>
      <x:c r="M126" s="281"/>
      <x:c r="N126" s="281"/>
      <x:c r="O126" s="281"/>
      <x:c r="P126" s="281"/>
      <x:c r="Q126" s="281"/>
      <x:c r="R126" s="281"/>
      <x:c r="S126" s="281"/>
      <x:c r="T126" s="281"/>
      <x:c r="U126" s="281"/>
      <x:c r="V126" s="281"/>
      <x:c r="W126" s="281"/>
      <x:c r="X126" s="281"/>
      <x:c r="Y126" s="281"/>
      <x:c r="Z126" s="281"/>
      <x:c r="AA126" s="281"/>
      <x:c r="AB126" s="281"/>
      <x:c r="AC126" s="281"/>
      <x:c r="AD126" s="281"/>
      <x:c r="AE126" s="281"/>
      <x:c r="AF126" s="281"/>
      <x:c r="AG126" s="281"/>
      <x:c r="AH126" s="281"/>
      <x:c r="AI126" s="281"/>
      <x:c r="AJ126" s="281"/>
      <x:c r="AK126" s="281"/>
      <x:c r="AL126" s="281"/>
      <x:c r="AM126" s="281"/>
      <x:c r="AN126" s="281"/>
    </x:row>
    <x:row r="127">
      <x:c r="A127" s="281"/>
      <x:c r="B127" s="281"/>
      <x:c r="C127" s="281"/>
      <x:c r="D127" s="281"/>
      <x:c r="E127" s="281"/>
      <x:c r="F127" s="281"/>
      <x:c r="G127" s="281"/>
      <x:c r="H127" s="281"/>
      <x:c r="I127" s="281"/>
      <x:c r="J127" s="281"/>
      <x:c r="K127" s="281"/>
      <x:c r="L127" s="281"/>
      <x:c r="M127" s="281"/>
      <x:c r="N127" s="281"/>
      <x:c r="O127" s="281"/>
      <x:c r="P127" s="281"/>
      <x:c r="Q127" s="281"/>
      <x:c r="R127" s="281"/>
      <x:c r="S127" s="281"/>
      <x:c r="T127" s="281"/>
      <x:c r="U127" s="281"/>
      <x:c r="V127" s="281"/>
      <x:c r="W127" s="281"/>
      <x:c r="X127" s="281"/>
      <x:c r="Y127" s="281"/>
      <x:c r="Z127" s="281"/>
      <x:c r="AA127" s="281"/>
      <x:c r="AB127" s="281"/>
      <x:c r="AC127" s="281"/>
      <x:c r="AD127" s="281"/>
      <x:c r="AE127" s="281"/>
      <x:c r="AF127" s="281"/>
      <x:c r="AG127" s="281"/>
      <x:c r="AH127" s="281"/>
      <x:c r="AI127" s="281"/>
      <x:c r="AJ127" s="281"/>
      <x:c r="AK127" s="281"/>
      <x:c r="AL127" s="281"/>
      <x:c r="AM127" s="281"/>
      <x:c r="AN127" s="281"/>
    </x:row>
    <x:row r="128">
      <x:c r="A128" s="281"/>
      <x:c r="B128" s="281"/>
      <x:c r="C128" s="281"/>
      <x:c r="D128" s="281"/>
      <x:c r="E128" s="281"/>
      <x:c r="F128" s="281"/>
      <x:c r="G128" s="281"/>
      <x:c r="H128" s="281"/>
      <x:c r="I128" s="281"/>
      <x:c r="J128" s="281"/>
      <x:c r="K128" s="281"/>
      <x:c r="L128" s="281"/>
      <x:c r="M128" s="281"/>
      <x:c r="N128" s="281"/>
      <x:c r="O128" s="281"/>
      <x:c r="P128" s="281"/>
      <x:c r="Q128" s="281"/>
      <x:c r="R128" s="281"/>
      <x:c r="S128" s="281"/>
      <x:c r="T128" s="281"/>
      <x:c r="U128" s="281"/>
      <x:c r="V128" s="281"/>
      <x:c r="W128" s="281"/>
      <x:c r="X128" s="281"/>
      <x:c r="Y128" s="281"/>
      <x:c r="Z128" s="281"/>
      <x:c r="AA128" s="281"/>
      <x:c r="AB128" s="281"/>
      <x:c r="AC128" s="281"/>
      <x:c r="AD128" s="281"/>
      <x:c r="AE128" s="281"/>
      <x:c r="AF128" s="281"/>
      <x:c r="AG128" s="281"/>
      <x:c r="AH128" s="281"/>
      <x:c r="AI128" s="281"/>
      <x:c r="AJ128" s="281"/>
      <x:c r="AK128" s="281"/>
      <x:c r="AL128" s="281"/>
      <x:c r="AM128" s="281"/>
      <x:c r="AN128" s="281"/>
    </x:row>
    <x:row r="129">
      <x:c r="A129" s="281"/>
      <x:c r="B129" s="281"/>
      <x:c r="C129" s="281"/>
      <x:c r="D129" s="281"/>
      <x:c r="E129" s="281"/>
      <x:c r="F129" s="281"/>
      <x:c r="G129" s="281"/>
      <x:c r="H129" s="281"/>
      <x:c r="I129" s="281"/>
      <x:c r="J129" s="281"/>
      <x:c r="K129" s="281"/>
      <x:c r="L129" s="281"/>
      <x:c r="M129" s="281"/>
      <x:c r="N129" s="281"/>
      <x:c r="O129" s="281"/>
      <x:c r="P129" s="281"/>
      <x:c r="Q129" s="281"/>
      <x:c r="R129" s="281"/>
      <x:c r="S129" s="281"/>
      <x:c r="T129" s="281"/>
      <x:c r="U129" s="281"/>
      <x:c r="V129" s="281"/>
      <x:c r="W129" s="281"/>
      <x:c r="X129" s="281"/>
      <x:c r="Y129" s="281"/>
      <x:c r="Z129" s="281"/>
      <x:c r="AA129" s="281"/>
      <x:c r="AB129" s="281"/>
      <x:c r="AC129" s="281"/>
      <x:c r="AD129" s="281"/>
      <x:c r="AE129" s="281"/>
      <x:c r="AF129" s="281"/>
      <x:c r="AG129" s="281"/>
      <x:c r="AH129" s="281"/>
      <x:c r="AI129" s="281"/>
      <x:c r="AJ129" s="281"/>
      <x:c r="AK129" s="281"/>
      <x:c r="AL129" s="281"/>
      <x:c r="AM129" s="281"/>
      <x:c r="AN129" s="281"/>
    </x:row>
    <x:row r="130">
      <x:c r="A130" s="281"/>
      <x:c r="B130" s="281"/>
      <x:c r="C130" s="281"/>
      <x:c r="D130" s="281"/>
      <x:c r="E130" s="281"/>
      <x:c r="F130" s="281"/>
      <x:c r="G130" s="281"/>
      <x:c r="H130" s="281"/>
      <x:c r="I130" s="281"/>
      <x:c r="J130" s="281"/>
      <x:c r="K130" s="281"/>
      <x:c r="L130" s="281"/>
      <x:c r="M130" s="281"/>
      <x:c r="N130" s="281"/>
      <x:c r="O130" s="281"/>
      <x:c r="P130" s="281"/>
      <x:c r="Q130" s="281"/>
      <x:c r="R130" s="281"/>
      <x:c r="S130" s="281"/>
      <x:c r="T130" s="281"/>
      <x:c r="U130" s="281"/>
      <x:c r="V130" s="281"/>
      <x:c r="W130" s="281"/>
      <x:c r="X130" s="281"/>
      <x:c r="Y130" s="281"/>
      <x:c r="Z130" s="281"/>
      <x:c r="AA130" s="281"/>
      <x:c r="AB130" s="281"/>
      <x:c r="AC130" s="281"/>
      <x:c r="AD130" s="281"/>
      <x:c r="AE130" s="281"/>
      <x:c r="AF130" s="281"/>
      <x:c r="AG130" s="281"/>
      <x:c r="AH130" s="281"/>
      <x:c r="AI130" s="281"/>
      <x:c r="AJ130" s="281"/>
      <x:c r="AK130" s="281"/>
      <x:c r="AL130" s="281"/>
      <x:c r="AM130" s="281"/>
      <x:c r="AN130" s="281"/>
    </x:row>
    <x:row r="131">
      <x:c r="A131" s="281"/>
      <x:c r="B131" s="281"/>
      <x:c r="C131" s="281"/>
      <x:c r="D131" s="281"/>
      <x:c r="E131" s="281"/>
      <x:c r="F131" s="281"/>
      <x:c r="G131" s="281"/>
      <x:c r="H131" s="281"/>
      <x:c r="I131" s="281"/>
      <x:c r="J131" s="281"/>
      <x:c r="K131" s="281"/>
      <x:c r="L131" s="281"/>
      <x:c r="M131" s="281"/>
      <x:c r="N131" s="281"/>
      <x:c r="O131" s="281"/>
      <x:c r="P131" s="281"/>
      <x:c r="Q131" s="281"/>
      <x:c r="R131" s="281"/>
      <x:c r="S131" s="281"/>
      <x:c r="T131" s="281"/>
      <x:c r="U131" s="281"/>
      <x:c r="V131" s="281"/>
      <x:c r="W131" s="281"/>
      <x:c r="X131" s="281"/>
      <x:c r="Y131" s="281"/>
      <x:c r="Z131" s="281"/>
      <x:c r="AA131" s="281"/>
      <x:c r="AB131" s="281"/>
      <x:c r="AC131" s="281"/>
      <x:c r="AD131" s="281"/>
      <x:c r="AE131" s="281"/>
      <x:c r="AF131" s="281"/>
      <x:c r="AG131" s="281"/>
      <x:c r="AH131" s="281"/>
      <x:c r="AI131" s="281"/>
      <x:c r="AJ131" s="281"/>
      <x:c r="AK131" s="281"/>
      <x:c r="AL131" s="281"/>
      <x:c r="AM131" s="281"/>
      <x:c r="AN131" s="281"/>
    </x:row>
    <x:row r="132">
      <x:c r="A132" s="281"/>
      <x:c r="B132" s="281"/>
      <x:c r="C132" s="281"/>
      <x:c r="D132" s="281"/>
      <x:c r="E132" s="281"/>
      <x:c r="F132" s="281"/>
      <x:c r="G132" s="281"/>
      <x:c r="H132" s="281"/>
      <x:c r="I132" s="281"/>
      <x:c r="J132" s="281"/>
      <x:c r="K132" s="281"/>
      <x:c r="L132" s="281"/>
      <x:c r="M132" s="281"/>
      <x:c r="N132" s="281"/>
      <x:c r="O132" s="281"/>
      <x:c r="P132" s="281"/>
      <x:c r="Q132" s="281"/>
      <x:c r="R132" s="281"/>
      <x:c r="S132" s="281"/>
      <x:c r="T132" s="281"/>
      <x:c r="U132" s="281"/>
      <x:c r="V132" s="281"/>
      <x:c r="W132" s="281"/>
      <x:c r="X132" s="281"/>
      <x:c r="Y132" s="281"/>
      <x:c r="Z132" s="281"/>
      <x:c r="AA132" s="281"/>
      <x:c r="AB132" s="281"/>
      <x:c r="AC132" s="281"/>
      <x:c r="AD132" s="281"/>
      <x:c r="AE132" s="281"/>
      <x:c r="AF132" s="281"/>
      <x:c r="AG132" s="281"/>
      <x:c r="AH132" s="281"/>
      <x:c r="AI132" s="281"/>
      <x:c r="AJ132" s="281"/>
      <x:c r="AK132" s="281"/>
      <x:c r="AL132" s="281"/>
      <x:c r="AM132" s="281"/>
      <x:c r="AN132" s="281"/>
    </x:row>
    <x:row r="133">
      <x:c r="A133" s="281"/>
      <x:c r="B133" s="281"/>
      <x:c r="C133" s="281"/>
      <x:c r="D133" s="281"/>
      <x:c r="E133" s="281"/>
      <x:c r="F133" s="281"/>
      <x:c r="G133" s="281"/>
      <x:c r="H133" s="281"/>
      <x:c r="I133" s="281"/>
      <x:c r="J133" s="281"/>
      <x:c r="K133" s="281"/>
      <x:c r="L133" s="281"/>
      <x:c r="M133" s="281"/>
      <x:c r="N133" s="281"/>
      <x:c r="O133" s="281"/>
      <x:c r="P133" s="281"/>
      <x:c r="Q133" s="281"/>
      <x:c r="R133" s="281"/>
      <x:c r="S133" s="281"/>
      <x:c r="T133" s="281"/>
      <x:c r="U133" s="281"/>
      <x:c r="V133" s="281"/>
      <x:c r="W133" s="281"/>
      <x:c r="X133" s="281"/>
      <x:c r="Y133" s="281"/>
      <x:c r="Z133" s="281"/>
      <x:c r="AA133" s="281"/>
      <x:c r="AB133" s="281"/>
      <x:c r="AC133" s="281"/>
      <x:c r="AD133" s="281"/>
      <x:c r="AE133" s="281"/>
      <x:c r="AF133" s="281"/>
      <x:c r="AG133" s="281"/>
      <x:c r="AH133" s="281"/>
      <x:c r="AI133" s="281"/>
      <x:c r="AJ133" s="281"/>
      <x:c r="AK133" s="281"/>
      <x:c r="AL133" s="281"/>
      <x:c r="AM133" s="281"/>
      <x:c r="AN133" s="281"/>
    </x:row>
    <x:row r="134">
      <x:c r="A134" s="281"/>
      <x:c r="B134" s="281"/>
      <x:c r="C134" s="281"/>
      <x:c r="D134" s="281"/>
      <x:c r="E134" s="281"/>
      <x:c r="F134" s="281"/>
      <x:c r="G134" s="281"/>
      <x:c r="H134" s="281"/>
      <x:c r="I134" s="281"/>
      <x:c r="J134" s="281"/>
      <x:c r="K134" s="281"/>
      <x:c r="L134" s="281"/>
      <x:c r="M134" s="281"/>
      <x:c r="N134" s="281"/>
      <x:c r="O134" s="281"/>
      <x:c r="P134" s="281"/>
      <x:c r="Q134" s="281"/>
      <x:c r="R134" s="281"/>
      <x:c r="S134" s="281"/>
      <x:c r="T134" s="281"/>
      <x:c r="U134" s="281"/>
      <x:c r="V134" s="281"/>
      <x:c r="W134" s="281"/>
      <x:c r="X134" s="281"/>
      <x:c r="Y134" s="281"/>
      <x:c r="Z134" s="281"/>
      <x:c r="AA134" s="281"/>
      <x:c r="AB134" s="281"/>
      <x:c r="AC134" s="281"/>
      <x:c r="AD134" s="281"/>
      <x:c r="AE134" s="281"/>
      <x:c r="AF134" s="281"/>
      <x:c r="AG134" s="281"/>
      <x:c r="AH134" s="281"/>
      <x:c r="AI134" s="281"/>
      <x:c r="AJ134" s="281"/>
      <x:c r="AK134" s="281"/>
      <x:c r="AL134" s="281"/>
      <x:c r="AM134" s="281"/>
      <x:c r="AN134" s="281"/>
    </x:row>
    <x:row r="135">
      <x:c r="A135" s="281"/>
      <x:c r="B135" s="281"/>
      <x:c r="C135" s="281"/>
      <x:c r="D135" s="281"/>
      <x:c r="E135" s="281"/>
      <x:c r="F135" s="281"/>
      <x:c r="G135" s="281"/>
      <x:c r="H135" s="281"/>
      <x:c r="I135" s="281"/>
      <x:c r="J135" s="281"/>
      <x:c r="K135" s="281"/>
      <x:c r="L135" s="281"/>
      <x:c r="M135" s="281"/>
      <x:c r="N135" s="281"/>
      <x:c r="O135" s="281"/>
      <x:c r="P135" s="281"/>
      <x:c r="Q135" s="281"/>
      <x:c r="R135" s="281"/>
      <x:c r="S135" s="281"/>
      <x:c r="T135" s="281"/>
      <x:c r="U135" s="281"/>
      <x:c r="V135" s="281"/>
      <x:c r="W135" s="281"/>
      <x:c r="X135" s="281"/>
      <x:c r="Y135" s="281"/>
      <x:c r="Z135" s="281"/>
      <x:c r="AA135" s="281"/>
      <x:c r="AB135" s="281"/>
      <x:c r="AC135" s="281"/>
      <x:c r="AD135" s="281"/>
      <x:c r="AE135" s="281"/>
      <x:c r="AF135" s="281"/>
      <x:c r="AG135" s="281"/>
      <x:c r="AH135" s="281"/>
      <x:c r="AI135" s="281"/>
      <x:c r="AJ135" s="281"/>
      <x:c r="AK135" s="281"/>
      <x:c r="AL135" s="281"/>
      <x:c r="AM135" s="281"/>
      <x:c r="AN135" s="281"/>
    </x:row>
    <x:row r="136">
      <x:c r="A136" s="281"/>
      <x:c r="B136" s="281"/>
      <x:c r="C136" s="281"/>
      <x:c r="D136" s="281"/>
      <x:c r="E136" s="281"/>
      <x:c r="F136" s="281"/>
      <x:c r="G136" s="281"/>
      <x:c r="H136" s="281"/>
      <x:c r="I136" s="281"/>
      <x:c r="J136" s="281"/>
      <x:c r="K136" s="281"/>
      <x:c r="L136" s="281"/>
      <x:c r="M136" s="281"/>
      <x:c r="N136" s="281"/>
      <x:c r="O136" s="281"/>
      <x:c r="P136" s="281"/>
      <x:c r="Q136" s="281"/>
      <x:c r="R136" s="281"/>
      <x:c r="S136" s="281"/>
      <x:c r="T136" s="281"/>
      <x:c r="U136" s="281"/>
      <x:c r="V136" s="281"/>
      <x:c r="W136" s="281"/>
      <x:c r="X136" s="281"/>
      <x:c r="Y136" s="281"/>
      <x:c r="Z136" s="281"/>
      <x:c r="AA136" s="281"/>
      <x:c r="AB136" s="281"/>
      <x:c r="AC136" s="281"/>
      <x:c r="AD136" s="281"/>
      <x:c r="AE136" s="281"/>
      <x:c r="AF136" s="281"/>
      <x:c r="AG136" s="281"/>
      <x:c r="AH136" s="281"/>
      <x:c r="AI136" s="281"/>
      <x:c r="AJ136" s="281"/>
      <x:c r="AK136" s="281"/>
      <x:c r="AL136" s="281"/>
      <x:c r="AM136" s="281"/>
      <x:c r="AN136" s="281"/>
    </x:row>
    <x:row r="137">
      <x:c r="A137" s="281"/>
      <x:c r="B137" s="281"/>
      <x:c r="C137" s="281"/>
      <x:c r="D137" s="281"/>
      <x:c r="E137" s="281"/>
      <x:c r="F137" s="281"/>
      <x:c r="G137" s="281"/>
      <x:c r="H137" s="281"/>
      <x:c r="I137" s="281"/>
      <x:c r="J137" s="281"/>
      <x:c r="K137" s="281"/>
      <x:c r="L137" s="281"/>
      <x:c r="M137" s="281"/>
      <x:c r="N137" s="281"/>
      <x:c r="O137" s="281"/>
      <x:c r="P137" s="281"/>
      <x:c r="Q137" s="281"/>
      <x:c r="R137" s="281"/>
      <x:c r="S137" s="281"/>
      <x:c r="T137" s="281"/>
      <x:c r="U137" s="281"/>
      <x:c r="V137" s="281"/>
      <x:c r="W137" s="281"/>
      <x:c r="X137" s="281"/>
      <x:c r="Y137" s="281"/>
      <x:c r="Z137" s="281"/>
      <x:c r="AA137" s="281"/>
      <x:c r="AB137" s="281"/>
      <x:c r="AC137" s="281"/>
      <x:c r="AD137" s="281"/>
      <x:c r="AE137" s="281"/>
      <x:c r="AF137" s="281"/>
      <x:c r="AG137" s="281"/>
      <x:c r="AH137" s="281"/>
      <x:c r="AI137" s="281"/>
      <x:c r="AJ137" s="281"/>
      <x:c r="AK137" s="281"/>
      <x:c r="AL137" s="281"/>
      <x:c r="AM137" s="281"/>
      <x:c r="AN137" s="281"/>
    </x:row>
    <x:row r="138">
      <x:c r="A138" s="281"/>
      <x:c r="B138" s="281"/>
      <x:c r="C138" s="281"/>
      <x:c r="D138" s="281"/>
      <x:c r="E138" s="281"/>
      <x:c r="F138" s="281"/>
      <x:c r="G138" s="281"/>
      <x:c r="H138" s="281"/>
      <x:c r="I138" s="281"/>
      <x:c r="J138" s="281"/>
      <x:c r="K138" s="281"/>
      <x:c r="L138" s="281"/>
      <x:c r="M138" s="281"/>
      <x:c r="N138" s="281"/>
      <x:c r="O138" s="281"/>
      <x:c r="P138" s="281"/>
      <x:c r="Q138" s="281"/>
      <x:c r="R138" s="281"/>
      <x:c r="S138" s="281"/>
      <x:c r="T138" s="281"/>
      <x:c r="U138" s="281"/>
      <x:c r="V138" s="281"/>
      <x:c r="W138" s="281"/>
      <x:c r="X138" s="281"/>
      <x:c r="Y138" s="281"/>
      <x:c r="Z138" s="281"/>
      <x:c r="AA138" s="281"/>
      <x:c r="AB138" s="281"/>
      <x:c r="AC138" s="281"/>
      <x:c r="AD138" s="281"/>
      <x:c r="AE138" s="281"/>
      <x:c r="AF138" s="281"/>
      <x:c r="AG138" s="281"/>
      <x:c r="AH138" s="281"/>
      <x:c r="AI138" s="281"/>
      <x:c r="AJ138" s="281"/>
      <x:c r="AK138" s="281"/>
      <x:c r="AL138" s="281"/>
      <x:c r="AM138" s="281"/>
      <x:c r="AN138" s="281"/>
    </x:row>
    <x:row r="139">
      <x:c r="A139" s="281"/>
      <x:c r="B139" s="281"/>
      <x:c r="C139" s="281"/>
      <x:c r="D139" s="281"/>
      <x:c r="E139" s="281"/>
      <x:c r="F139" s="281"/>
      <x:c r="G139" s="281"/>
      <x:c r="H139" s="281"/>
      <x:c r="I139" s="281"/>
      <x:c r="J139" s="281"/>
      <x:c r="K139" s="281"/>
      <x:c r="L139" s="281"/>
      <x:c r="M139" s="281"/>
      <x:c r="N139" s="281"/>
      <x:c r="O139" s="281"/>
      <x:c r="P139" s="281"/>
      <x:c r="Q139" s="281"/>
      <x:c r="R139" s="281"/>
      <x:c r="S139" s="281"/>
      <x:c r="T139" s="281"/>
      <x:c r="U139" s="281"/>
      <x:c r="V139" s="281"/>
      <x:c r="W139" s="281"/>
      <x:c r="X139" s="281"/>
      <x:c r="Y139" s="281"/>
      <x:c r="Z139" s="281"/>
      <x:c r="AA139" s="281"/>
      <x:c r="AB139" s="281"/>
      <x:c r="AC139" s="281"/>
      <x:c r="AD139" s="281"/>
      <x:c r="AE139" s="281"/>
      <x:c r="AF139" s="281"/>
      <x:c r="AG139" s="281"/>
      <x:c r="AH139" s="281"/>
      <x:c r="AI139" s="281"/>
      <x:c r="AJ139" s="281"/>
      <x:c r="AK139" s="281"/>
      <x:c r="AL139" s="281"/>
      <x:c r="AM139" s="281"/>
      <x:c r="AN139" s="281"/>
    </x:row>
    <x:row r="140">
      <x:c r="A140" s="281"/>
      <x:c r="B140" s="281"/>
      <x:c r="C140" s="281"/>
      <x:c r="D140" s="281"/>
      <x:c r="E140" s="281"/>
      <x:c r="F140" s="281"/>
      <x:c r="G140" s="281"/>
      <x:c r="H140" s="281"/>
      <x:c r="I140" s="281"/>
      <x:c r="J140" s="281"/>
      <x:c r="K140" s="281"/>
      <x:c r="L140" s="281"/>
      <x:c r="M140" s="281"/>
      <x:c r="N140" s="281"/>
      <x:c r="O140" s="281"/>
      <x:c r="P140" s="281"/>
      <x:c r="Q140" s="281"/>
      <x:c r="R140" s="281"/>
      <x:c r="S140" s="281"/>
      <x:c r="T140" s="281"/>
      <x:c r="U140" s="281"/>
      <x:c r="V140" s="281"/>
      <x:c r="W140" s="281"/>
      <x:c r="X140" s="281"/>
      <x:c r="Y140" s="281"/>
      <x:c r="Z140" s="281"/>
      <x:c r="AA140" s="281"/>
      <x:c r="AB140" s="281"/>
      <x:c r="AC140" s="281"/>
      <x:c r="AD140" s="281"/>
      <x:c r="AE140" s="281"/>
      <x:c r="AF140" s="281"/>
      <x:c r="AG140" s="281"/>
      <x:c r="AH140" s="281"/>
      <x:c r="AI140" s="281"/>
      <x:c r="AJ140" s="281"/>
      <x:c r="AK140" s="281"/>
      <x:c r="AL140" s="281"/>
      <x:c r="AM140" s="281"/>
      <x:c r="AN140" s="281"/>
    </x:row>
    <x:row r="141">
      <x:c r="A141" s="281"/>
      <x:c r="B141" s="281"/>
      <x:c r="C141" s="281"/>
      <x:c r="D141" s="281"/>
      <x:c r="E141" s="281"/>
      <x:c r="F141" s="281"/>
      <x:c r="G141" s="281"/>
      <x:c r="H141" s="281"/>
      <x:c r="I141" s="281"/>
      <x:c r="J141" s="281"/>
      <x:c r="K141" s="281"/>
      <x:c r="L141" s="281"/>
      <x:c r="M141" s="281"/>
      <x:c r="N141" s="281"/>
      <x:c r="O141" s="281"/>
      <x:c r="P141" s="281"/>
      <x:c r="Q141" s="281"/>
      <x:c r="R141" s="281"/>
      <x:c r="S141" s="281"/>
      <x:c r="T141" s="281"/>
      <x:c r="U141" s="281"/>
      <x:c r="V141" s="281"/>
      <x:c r="W141" s="281"/>
      <x:c r="X141" s="281"/>
      <x:c r="Y141" s="281"/>
      <x:c r="Z141" s="281"/>
      <x:c r="AA141" s="281"/>
      <x:c r="AB141" s="281"/>
      <x:c r="AC141" s="281"/>
      <x:c r="AD141" s="281"/>
      <x:c r="AE141" s="281"/>
      <x:c r="AF141" s="281"/>
      <x:c r="AG141" s="281"/>
      <x:c r="AH141" s="281"/>
      <x:c r="AI141" s="281"/>
      <x:c r="AJ141" s="281"/>
      <x:c r="AK141" s="281"/>
      <x:c r="AL141" s="281"/>
      <x:c r="AM141" s="281"/>
      <x:c r="AN141" s="281"/>
    </x:row>
    <x:row r="142">
      <x:c r="A142" s="281"/>
      <x:c r="B142" s="281"/>
      <x:c r="C142" s="281"/>
      <x:c r="D142" s="281"/>
      <x:c r="E142" s="281"/>
      <x:c r="F142" s="281"/>
      <x:c r="G142" s="281"/>
      <x:c r="H142" s="281"/>
      <x:c r="I142" s="281"/>
      <x:c r="J142" s="281"/>
      <x:c r="K142" s="281"/>
      <x:c r="L142" s="281"/>
      <x:c r="M142" s="281"/>
      <x:c r="N142" s="281"/>
      <x:c r="O142" s="281"/>
      <x:c r="P142" s="281"/>
      <x:c r="Q142" s="281"/>
      <x:c r="R142" s="281"/>
      <x:c r="S142" s="281"/>
      <x:c r="T142" s="281"/>
      <x:c r="U142" s="281"/>
      <x:c r="V142" s="281"/>
      <x:c r="W142" s="281"/>
      <x:c r="X142" s="281"/>
      <x:c r="Y142" s="281"/>
      <x:c r="Z142" s="281"/>
      <x:c r="AA142" s="281"/>
      <x:c r="AB142" s="281"/>
      <x:c r="AC142" s="281"/>
      <x:c r="AD142" s="281"/>
      <x:c r="AE142" s="281"/>
      <x:c r="AF142" s="281"/>
      <x:c r="AG142" s="281"/>
      <x:c r="AH142" s="281"/>
      <x:c r="AI142" s="281"/>
      <x:c r="AJ142" s="281"/>
      <x:c r="AK142" s="281"/>
      <x:c r="AL142" s="281"/>
      <x:c r="AM142" s="281"/>
      <x:c r="AN142" s="281"/>
    </x:row>
    <x:row r="143">
      <x:c r="A143" s="281"/>
      <x:c r="B143" s="281"/>
      <x:c r="C143" s="281"/>
      <x:c r="D143" s="281"/>
      <x:c r="E143" s="281"/>
      <x:c r="F143" s="281"/>
      <x:c r="G143" s="281"/>
      <x:c r="H143" s="281"/>
      <x:c r="I143" s="281"/>
      <x:c r="J143" s="281"/>
      <x:c r="K143" s="281"/>
      <x:c r="L143" s="281"/>
      <x:c r="M143" s="281"/>
      <x:c r="N143" s="281"/>
      <x:c r="O143" s="281"/>
      <x:c r="P143" s="281"/>
      <x:c r="Q143" s="281"/>
      <x:c r="R143" s="281"/>
      <x:c r="S143" s="281"/>
      <x:c r="T143" s="281"/>
      <x:c r="U143" s="281"/>
      <x:c r="V143" s="281"/>
      <x:c r="W143" s="281"/>
      <x:c r="X143" s="281"/>
      <x:c r="Y143" s="281"/>
      <x:c r="Z143" s="281"/>
      <x:c r="AA143" s="281"/>
      <x:c r="AB143" s="281"/>
      <x:c r="AC143" s="281"/>
      <x:c r="AD143" s="281"/>
      <x:c r="AE143" s="281"/>
      <x:c r="AF143" s="281"/>
      <x:c r="AG143" s="281"/>
      <x:c r="AH143" s="281"/>
      <x:c r="AI143" s="281"/>
      <x:c r="AJ143" s="281"/>
      <x:c r="AK143" s="281"/>
      <x:c r="AL143" s="281"/>
      <x:c r="AM143" s="281"/>
      <x:c r="AN143" s="281"/>
    </x:row>
    <x:row r="144">
      <x:c r="A144" s="281"/>
      <x:c r="B144" s="281"/>
      <x:c r="C144" s="281"/>
      <x:c r="D144" s="281"/>
      <x:c r="E144" s="281"/>
      <x:c r="F144" s="281"/>
      <x:c r="G144" s="281"/>
      <x:c r="H144" s="281"/>
      <x:c r="I144" s="281"/>
      <x:c r="J144" s="281"/>
      <x:c r="K144" s="281"/>
      <x:c r="L144" s="281"/>
      <x:c r="M144" s="281"/>
      <x:c r="N144" s="281"/>
      <x:c r="O144" s="281"/>
      <x:c r="P144" s="281"/>
      <x:c r="Q144" s="281"/>
      <x:c r="R144" s="281"/>
      <x:c r="S144" s="281"/>
      <x:c r="T144" s="281"/>
      <x:c r="U144" s="281"/>
      <x:c r="V144" s="281"/>
      <x:c r="W144" s="281"/>
      <x:c r="X144" s="281"/>
      <x:c r="Y144" s="281"/>
      <x:c r="Z144" s="281"/>
      <x:c r="AA144" s="281"/>
      <x:c r="AB144" s="281"/>
      <x:c r="AC144" s="281"/>
      <x:c r="AD144" s="281"/>
      <x:c r="AE144" s="281"/>
      <x:c r="AF144" s="281"/>
      <x:c r="AG144" s="281"/>
      <x:c r="AH144" s="281"/>
      <x:c r="AI144" s="281"/>
      <x:c r="AJ144" s="281"/>
      <x:c r="AK144" s="281"/>
      <x:c r="AL144" s="281"/>
      <x:c r="AM144" s="281"/>
      <x:c r="AN144" s="281"/>
    </x:row>
    <x:row r="145">
      <x:c r="A145" s="281"/>
      <x:c r="B145" s="281"/>
      <x:c r="C145" s="281"/>
      <x:c r="D145" s="281"/>
      <x:c r="E145" s="281"/>
      <x:c r="F145" s="281"/>
      <x:c r="G145" s="281"/>
      <x:c r="H145" s="281"/>
      <x:c r="I145" s="281"/>
      <x:c r="J145" s="281"/>
      <x:c r="K145" s="281"/>
      <x:c r="L145" s="281"/>
      <x:c r="M145" s="281"/>
      <x:c r="N145" s="281"/>
      <x:c r="O145" s="281"/>
      <x:c r="P145" s="281"/>
      <x:c r="Q145" s="281"/>
      <x:c r="R145" s="281"/>
      <x:c r="S145" s="281"/>
      <x:c r="T145" s="281"/>
      <x:c r="U145" s="281"/>
      <x:c r="V145" s="281"/>
      <x:c r="W145" s="281"/>
      <x:c r="X145" s="281"/>
      <x:c r="Y145" s="281"/>
      <x:c r="Z145" s="281"/>
      <x:c r="AA145" s="281"/>
      <x:c r="AB145" s="281"/>
      <x:c r="AC145" s="281"/>
      <x:c r="AD145" s="281"/>
      <x:c r="AE145" s="281"/>
      <x:c r="AF145" s="281"/>
      <x:c r="AG145" s="281"/>
      <x:c r="AH145" s="281"/>
      <x:c r="AI145" s="281"/>
      <x:c r="AJ145" s="281"/>
      <x:c r="AK145" s="281"/>
      <x:c r="AL145" s="281"/>
      <x:c r="AM145" s="281"/>
      <x:c r="AN145" s="281"/>
    </x:row>
    <x:row r="146">
      <x:c r="A146" s="281"/>
      <x:c r="B146" s="281"/>
      <x:c r="C146" s="281"/>
      <x:c r="D146" s="281"/>
      <x:c r="E146" s="281"/>
      <x:c r="F146" s="281"/>
      <x:c r="G146" s="281"/>
      <x:c r="H146" s="281"/>
      <x:c r="I146" s="281"/>
      <x:c r="J146" s="281"/>
      <x:c r="K146" s="281"/>
      <x:c r="L146" s="281"/>
      <x:c r="M146" s="281"/>
      <x:c r="N146" s="281"/>
      <x:c r="O146" s="281"/>
      <x:c r="P146" s="281"/>
      <x:c r="Q146" s="281"/>
      <x:c r="R146" s="281"/>
      <x:c r="S146" s="281"/>
      <x:c r="T146" s="281"/>
      <x:c r="U146" s="281"/>
      <x:c r="V146" s="281"/>
      <x:c r="W146" s="281"/>
      <x:c r="X146" s="281"/>
      <x:c r="Y146" s="281"/>
      <x:c r="Z146" s="281"/>
      <x:c r="AA146" s="281"/>
      <x:c r="AB146" s="281"/>
      <x:c r="AC146" s="281"/>
      <x:c r="AD146" s="281"/>
      <x:c r="AE146" s="281"/>
      <x:c r="AF146" s="281"/>
      <x:c r="AG146" s="281"/>
      <x:c r="AH146" s="281"/>
      <x:c r="AI146" s="281"/>
      <x:c r="AJ146" s="281"/>
      <x:c r="AK146" s="281"/>
      <x:c r="AL146" s="281"/>
      <x:c r="AM146" s="281"/>
      <x:c r="AN146" s="281"/>
    </x:row>
    <x:row r="147">
      <x:c r="A147" s="281"/>
      <x:c r="B147" s="281"/>
      <x:c r="C147" s="281"/>
      <x:c r="D147" s="281"/>
      <x:c r="E147" s="281"/>
      <x:c r="F147" s="281"/>
      <x:c r="G147" s="281"/>
      <x:c r="H147" s="281"/>
      <x:c r="I147" s="281"/>
      <x:c r="J147" s="281"/>
      <x:c r="K147" s="281"/>
      <x:c r="L147" s="281"/>
      <x:c r="M147" s="281"/>
      <x:c r="N147" s="281"/>
      <x:c r="O147" s="281"/>
      <x:c r="P147" s="281"/>
      <x:c r="Q147" s="281"/>
      <x:c r="R147" s="281"/>
      <x:c r="S147" s="281"/>
      <x:c r="T147" s="281"/>
      <x:c r="U147" s="281"/>
      <x:c r="V147" s="281"/>
      <x:c r="W147" s="281"/>
      <x:c r="X147" s="281"/>
      <x:c r="Y147" s="281"/>
      <x:c r="Z147" s="281"/>
      <x:c r="AA147" s="281"/>
      <x:c r="AB147" s="281"/>
      <x:c r="AC147" s="281"/>
      <x:c r="AD147" s="281"/>
      <x:c r="AE147" s="281"/>
      <x:c r="AF147" s="281"/>
      <x:c r="AG147" s="281"/>
      <x:c r="AH147" s="281"/>
      <x:c r="AI147" s="281"/>
      <x:c r="AJ147" s="281"/>
      <x:c r="AK147" s="281"/>
      <x:c r="AL147" s="281"/>
      <x:c r="AM147" s="281"/>
      <x:c r="AN147" s="281"/>
    </x:row>
    <x:row r="148">
      <x:c r="A148" s="281"/>
      <x:c r="B148" s="281"/>
      <x:c r="C148" s="281"/>
      <x:c r="D148" s="281"/>
      <x:c r="E148" s="281"/>
      <x:c r="F148" s="281"/>
      <x:c r="G148" s="281"/>
      <x:c r="H148" s="281"/>
      <x:c r="I148" s="281"/>
      <x:c r="J148" s="281"/>
      <x:c r="K148" s="281"/>
      <x:c r="L148" s="281"/>
      <x:c r="M148" s="281"/>
      <x:c r="N148" s="281"/>
      <x:c r="O148" s="281"/>
      <x:c r="P148" s="281"/>
      <x:c r="Q148" s="281"/>
      <x:c r="R148" s="281"/>
      <x:c r="S148" s="281"/>
      <x:c r="T148" s="281"/>
      <x:c r="U148" s="281"/>
      <x:c r="V148" s="281"/>
      <x:c r="W148" s="281"/>
      <x:c r="X148" s="281"/>
      <x:c r="Y148" s="281"/>
      <x:c r="Z148" s="281"/>
      <x:c r="AA148" s="281"/>
      <x:c r="AB148" s="281"/>
      <x:c r="AC148" s="281"/>
      <x:c r="AD148" s="281"/>
      <x:c r="AE148" s="281"/>
      <x:c r="AF148" s="281"/>
      <x:c r="AG148" s="281"/>
      <x:c r="AH148" s="281"/>
      <x:c r="AI148" s="281"/>
      <x:c r="AJ148" s="281"/>
      <x:c r="AK148" s="281"/>
      <x:c r="AL148" s="281"/>
      <x:c r="AM148" s="281"/>
      <x:c r="AN148" s="281"/>
    </x:row>
    <x:row r="149">
      <x:c r="A149" s="281"/>
      <x:c r="B149" s="281"/>
      <x:c r="C149" s="281"/>
      <x:c r="D149" s="281"/>
      <x:c r="E149" s="281"/>
      <x:c r="F149" s="281"/>
      <x:c r="G149" s="281"/>
      <x:c r="H149" s="281"/>
      <x:c r="I149" s="281"/>
      <x:c r="J149" s="281"/>
      <x:c r="K149" s="281"/>
      <x:c r="L149" s="281"/>
      <x:c r="M149" s="281"/>
      <x:c r="N149" s="281"/>
      <x:c r="O149" s="281"/>
      <x:c r="P149" s="281"/>
      <x:c r="Q149" s="281"/>
      <x:c r="R149" s="281"/>
      <x:c r="S149" s="281"/>
      <x:c r="T149" s="281"/>
      <x:c r="U149" s="281"/>
      <x:c r="V149" s="281"/>
      <x:c r="W149" s="281"/>
      <x:c r="X149" s="281"/>
      <x:c r="Y149" s="281"/>
      <x:c r="Z149" s="281"/>
      <x:c r="AA149" s="281"/>
      <x:c r="AB149" s="281"/>
      <x:c r="AC149" s="281"/>
      <x:c r="AD149" s="281"/>
      <x:c r="AE149" s="281"/>
      <x:c r="AF149" s="281"/>
      <x:c r="AG149" s="281"/>
      <x:c r="AH149" s="281"/>
      <x:c r="AI149" s="281"/>
      <x:c r="AJ149" s="281"/>
      <x:c r="AK149" s="281"/>
      <x:c r="AL149" s="281"/>
      <x:c r="AM149" s="281"/>
      <x:c r="AN149" s="281"/>
    </x:row>
    <x:row r="150">
      <x:c r="A150" s="281"/>
      <x:c r="B150" s="281"/>
      <x:c r="C150" s="281"/>
      <x:c r="D150" s="281"/>
      <x:c r="E150" s="281"/>
      <x:c r="F150" s="281"/>
      <x:c r="G150" s="281"/>
      <x:c r="H150" s="281"/>
      <x:c r="I150" s="281"/>
      <x:c r="J150" s="281"/>
      <x:c r="K150" s="281"/>
      <x:c r="L150" s="281"/>
      <x:c r="M150" s="281"/>
      <x:c r="N150" s="281"/>
      <x:c r="O150" s="281"/>
      <x:c r="P150" s="281"/>
      <x:c r="Q150" s="281"/>
      <x:c r="R150" s="281"/>
      <x:c r="S150" s="281"/>
      <x:c r="T150" s="281"/>
      <x:c r="U150" s="281"/>
      <x:c r="V150" s="281"/>
      <x:c r="W150" s="281"/>
      <x:c r="X150" s="281"/>
      <x:c r="Y150" s="281"/>
      <x:c r="Z150" s="281"/>
      <x:c r="AA150" s="281"/>
      <x:c r="AB150" s="281"/>
      <x:c r="AC150" s="281"/>
      <x:c r="AD150" s="281"/>
      <x:c r="AE150" s="281"/>
      <x:c r="AF150" s="281"/>
      <x:c r="AG150" s="281"/>
      <x:c r="AH150" s="281"/>
      <x:c r="AI150" s="281"/>
      <x:c r="AJ150" s="281"/>
      <x:c r="AK150" s="281"/>
      <x:c r="AL150" s="281"/>
      <x:c r="AM150" s="281"/>
      <x:c r="AN150" s="281"/>
    </x:row>
    <x:row r="151">
      <x:c r="A151" s="281"/>
      <x:c r="B151" s="281"/>
      <x:c r="C151" s="281"/>
      <x:c r="D151" s="281"/>
      <x:c r="E151" s="281"/>
      <x:c r="F151" s="281"/>
      <x:c r="G151" s="281"/>
      <x:c r="H151" s="281"/>
      <x:c r="I151" s="281"/>
      <x:c r="J151" s="281"/>
      <x:c r="K151" s="281"/>
      <x:c r="L151" s="281"/>
      <x:c r="M151" s="281"/>
      <x:c r="N151" s="281"/>
      <x:c r="O151" s="281"/>
      <x:c r="P151" s="281"/>
      <x:c r="Q151" s="281"/>
      <x:c r="R151" s="281"/>
      <x:c r="S151" s="281"/>
      <x:c r="T151" s="281"/>
      <x:c r="U151" s="281"/>
      <x:c r="V151" s="281"/>
      <x:c r="W151" s="281"/>
      <x:c r="X151" s="281"/>
      <x:c r="Y151" s="281"/>
      <x:c r="Z151" s="281"/>
      <x:c r="AA151" s="281"/>
      <x:c r="AB151" s="281"/>
      <x:c r="AC151" s="281"/>
      <x:c r="AD151" s="281"/>
      <x:c r="AE151" s="281"/>
      <x:c r="AF151" s="281"/>
      <x:c r="AG151" s="281"/>
      <x:c r="AH151" s="281"/>
      <x:c r="AI151" s="281"/>
      <x:c r="AJ151" s="281"/>
      <x:c r="AK151" s="281"/>
      <x:c r="AL151" s="281"/>
      <x:c r="AM151" s="281"/>
      <x:c r="AN151" s="281"/>
    </x:row>
    <x:row r="152">
      <x:c r="A152" s="281"/>
      <x:c r="B152" s="281"/>
      <x:c r="C152" s="281"/>
      <x:c r="D152" s="281"/>
      <x:c r="E152" s="281"/>
      <x:c r="F152" s="281"/>
      <x:c r="G152" s="281"/>
      <x:c r="H152" s="281"/>
      <x:c r="I152" s="281"/>
      <x:c r="J152" s="281"/>
      <x:c r="K152" s="281"/>
      <x:c r="L152" s="281"/>
      <x:c r="M152" s="281"/>
      <x:c r="N152" s="281"/>
      <x:c r="O152" s="281"/>
      <x:c r="P152" s="281"/>
      <x:c r="Q152" s="281"/>
      <x:c r="R152" s="281"/>
      <x:c r="S152" s="281"/>
      <x:c r="T152" s="281"/>
      <x:c r="U152" s="281"/>
      <x:c r="V152" s="281"/>
      <x:c r="W152" s="281"/>
      <x:c r="X152" s="281"/>
      <x:c r="Y152" s="281"/>
      <x:c r="Z152" s="281"/>
      <x:c r="AA152" s="281"/>
      <x:c r="AB152" s="281"/>
      <x:c r="AC152" s="281"/>
      <x:c r="AD152" s="281"/>
      <x:c r="AE152" s="281"/>
      <x:c r="AF152" s="281"/>
      <x:c r="AG152" s="281"/>
      <x:c r="AH152" s="281"/>
      <x:c r="AI152" s="281"/>
      <x:c r="AJ152" s="281"/>
      <x:c r="AK152" s="281"/>
      <x:c r="AL152" s="281"/>
      <x:c r="AM152" s="281"/>
      <x:c r="AN152" s="281"/>
    </x:row>
    <x:row r="153">
      <x:c r="A153" s="281"/>
      <x:c r="B153" s="281"/>
      <x:c r="C153" s="281"/>
      <x:c r="D153" s="281"/>
      <x:c r="E153" s="281"/>
      <x:c r="F153" s="281"/>
      <x:c r="G153" s="281"/>
      <x:c r="H153" s="281"/>
      <x:c r="I153" s="281"/>
      <x:c r="J153" s="281"/>
      <x:c r="K153" s="281"/>
      <x:c r="L153" s="281"/>
      <x:c r="M153" s="281"/>
      <x:c r="N153" s="281"/>
      <x:c r="O153" s="281"/>
      <x:c r="P153" s="281"/>
      <x:c r="Q153" s="281"/>
      <x:c r="R153" s="281"/>
      <x:c r="S153" s="281"/>
      <x:c r="T153" s="281"/>
      <x:c r="U153" s="281"/>
      <x:c r="V153" s="281"/>
      <x:c r="W153" s="281"/>
      <x:c r="X153" s="281"/>
      <x:c r="Y153" s="281"/>
      <x:c r="Z153" s="281"/>
      <x:c r="AA153" s="281"/>
      <x:c r="AB153" s="281"/>
      <x:c r="AC153" s="281"/>
      <x:c r="AD153" s="281"/>
      <x:c r="AE153" s="281"/>
      <x:c r="AF153" s="281"/>
      <x:c r="AG153" s="281"/>
      <x:c r="AH153" s="281"/>
      <x:c r="AI153" s="281"/>
      <x:c r="AJ153" s="281"/>
      <x:c r="AK153" s="281"/>
      <x:c r="AL153" s="281"/>
      <x:c r="AM153" s="281"/>
      <x:c r="AN153" s="281"/>
    </x:row>
    <x:row r="154">
      <x:c r="A154" s="281"/>
      <x:c r="B154" s="281"/>
      <x:c r="C154" s="281"/>
      <x:c r="D154" s="281"/>
      <x:c r="E154" s="281"/>
      <x:c r="F154" s="281"/>
      <x:c r="G154" s="281"/>
      <x:c r="H154" s="281"/>
      <x:c r="I154" s="281"/>
      <x:c r="J154" s="281"/>
      <x:c r="K154" s="281"/>
      <x:c r="L154" s="281"/>
      <x:c r="M154" s="281"/>
      <x:c r="N154" s="281"/>
      <x:c r="O154" s="281"/>
      <x:c r="P154" s="281"/>
      <x:c r="Q154" s="281"/>
      <x:c r="R154" s="281"/>
      <x:c r="S154" s="281"/>
      <x:c r="T154" s="281"/>
      <x:c r="U154" s="281"/>
      <x:c r="V154" s="281"/>
      <x:c r="W154" s="281"/>
      <x:c r="X154" s="281"/>
      <x:c r="Y154" s="281"/>
      <x:c r="Z154" s="281"/>
      <x:c r="AA154" s="281"/>
      <x:c r="AB154" s="281"/>
      <x:c r="AC154" s="281"/>
      <x:c r="AD154" s="281"/>
      <x:c r="AE154" s="281"/>
      <x:c r="AF154" s="281"/>
      <x:c r="AG154" s="281"/>
      <x:c r="AH154" s="281"/>
      <x:c r="AI154" s="281"/>
      <x:c r="AJ154" s="281"/>
      <x:c r="AK154" s="281"/>
      <x:c r="AL154" s="281"/>
      <x:c r="AM154" s="281"/>
      <x:c r="AN154" s="281"/>
    </x:row>
    <x:row r="155">
      <x:c r="A155" s="281"/>
      <x:c r="B155" s="281"/>
      <x:c r="C155" s="281"/>
      <x:c r="D155" s="281"/>
      <x:c r="E155" s="281"/>
      <x:c r="F155" s="281"/>
      <x:c r="G155" s="281"/>
      <x:c r="H155" s="281"/>
      <x:c r="I155" s="281"/>
      <x:c r="J155" s="281"/>
      <x:c r="K155" s="281"/>
      <x:c r="L155" s="281"/>
      <x:c r="M155" s="281"/>
      <x:c r="N155" s="281"/>
      <x:c r="O155" s="281"/>
      <x:c r="P155" s="281"/>
      <x:c r="Q155" s="281"/>
      <x:c r="R155" s="281"/>
      <x:c r="S155" s="281"/>
      <x:c r="T155" s="281"/>
      <x:c r="U155" s="281"/>
      <x:c r="V155" s="281"/>
      <x:c r="W155" s="281"/>
      <x:c r="X155" s="281"/>
      <x:c r="Y155" s="281"/>
      <x:c r="Z155" s="281"/>
      <x:c r="AA155" s="281"/>
      <x:c r="AB155" s="281"/>
      <x:c r="AC155" s="281"/>
      <x:c r="AD155" s="281"/>
      <x:c r="AE155" s="281"/>
      <x:c r="AF155" s="281"/>
      <x:c r="AG155" s="281"/>
      <x:c r="AH155" s="281"/>
      <x:c r="AI155" s="281"/>
      <x:c r="AJ155" s="281"/>
      <x:c r="AK155" s="281"/>
      <x:c r="AL155" s="281"/>
      <x:c r="AM155" s="281"/>
      <x:c r="AN155" s="281"/>
    </x:row>
    <x:row r="156">
      <x:c r="A156" s="281"/>
      <x:c r="B156" s="281"/>
      <x:c r="C156" s="281"/>
      <x:c r="D156" s="281"/>
      <x:c r="E156" s="281"/>
      <x:c r="F156" s="281"/>
      <x:c r="G156" s="281"/>
      <x:c r="H156" s="281"/>
      <x:c r="I156" s="281"/>
      <x:c r="J156" s="281"/>
      <x:c r="K156" s="281"/>
      <x:c r="L156" s="281"/>
      <x:c r="M156" s="281"/>
      <x:c r="N156" s="281"/>
      <x:c r="O156" s="281"/>
      <x:c r="P156" s="281"/>
      <x:c r="Q156" s="281"/>
      <x:c r="R156" s="281"/>
      <x:c r="S156" s="281"/>
      <x:c r="T156" s="281"/>
      <x:c r="U156" s="281"/>
      <x:c r="V156" s="281"/>
      <x:c r="W156" s="281"/>
      <x:c r="X156" s="281"/>
      <x:c r="Y156" s="281"/>
      <x:c r="Z156" s="281"/>
      <x:c r="AA156" s="281"/>
      <x:c r="AB156" s="281"/>
      <x:c r="AC156" s="281"/>
      <x:c r="AD156" s="281"/>
      <x:c r="AE156" s="281"/>
      <x:c r="AF156" s="281"/>
      <x:c r="AG156" s="281"/>
      <x:c r="AH156" s="281"/>
      <x:c r="AI156" s="281"/>
      <x:c r="AJ156" s="281"/>
      <x:c r="AK156" s="281"/>
      <x:c r="AL156" s="281"/>
      <x:c r="AM156" s="281"/>
      <x:c r="AN156" s="281"/>
    </x:row>
    <x:row r="157">
      <x:c r="A157" s="281"/>
      <x:c r="B157" s="281"/>
      <x:c r="C157" s="281"/>
      <x:c r="D157" s="281"/>
      <x:c r="E157" s="281"/>
      <x:c r="F157" s="281"/>
      <x:c r="G157" s="281"/>
      <x:c r="H157" s="281"/>
      <x:c r="I157" s="281"/>
      <x:c r="J157" s="281"/>
      <x:c r="K157" s="281"/>
      <x:c r="L157" s="281"/>
      <x:c r="M157" s="281"/>
      <x:c r="N157" s="281"/>
      <x:c r="O157" s="281"/>
      <x:c r="P157" s="281"/>
      <x:c r="Q157" s="281"/>
      <x:c r="R157" s="281"/>
      <x:c r="S157" s="281"/>
      <x:c r="T157" s="281"/>
      <x:c r="U157" s="281"/>
      <x:c r="V157" s="281"/>
      <x:c r="W157" s="281"/>
      <x:c r="X157" s="281"/>
      <x:c r="Y157" s="281"/>
      <x:c r="Z157" s="281"/>
      <x:c r="AA157" s="281"/>
      <x:c r="AB157" s="281"/>
      <x:c r="AC157" s="281"/>
      <x:c r="AD157" s="281"/>
      <x:c r="AE157" s="281"/>
      <x:c r="AF157" s="281"/>
      <x:c r="AG157" s="281"/>
      <x:c r="AH157" s="281"/>
      <x:c r="AI157" s="281"/>
      <x:c r="AJ157" s="281"/>
      <x:c r="AK157" s="281"/>
      <x:c r="AL157" s="281"/>
      <x:c r="AM157" s="281"/>
      <x:c r="AN157" s="281"/>
    </x:row>
    <x:row r="158">
      <x:c r="A158" s="281"/>
      <x:c r="B158" s="281"/>
      <x:c r="C158" s="281"/>
      <x:c r="D158" s="281"/>
      <x:c r="E158" s="281"/>
      <x:c r="F158" s="281"/>
      <x:c r="G158" s="281"/>
      <x:c r="H158" s="281"/>
      <x:c r="I158" s="281"/>
      <x:c r="J158" s="281"/>
      <x:c r="K158" s="281"/>
      <x:c r="L158" s="281"/>
      <x:c r="M158" s="281"/>
      <x:c r="N158" s="281"/>
      <x:c r="O158" s="281"/>
      <x:c r="P158" s="281"/>
      <x:c r="Q158" s="281"/>
      <x:c r="R158" s="281"/>
      <x:c r="S158" s="281"/>
      <x:c r="T158" s="281"/>
      <x:c r="U158" s="281"/>
      <x:c r="V158" s="281"/>
      <x:c r="W158" s="281"/>
      <x:c r="X158" s="281"/>
      <x:c r="Y158" s="281"/>
      <x:c r="Z158" s="281"/>
      <x:c r="AA158" s="281"/>
      <x:c r="AB158" s="281"/>
      <x:c r="AC158" s="281"/>
      <x:c r="AD158" s="281"/>
      <x:c r="AE158" s="281"/>
      <x:c r="AF158" s="281"/>
      <x:c r="AG158" s="281"/>
      <x:c r="AH158" s="281"/>
      <x:c r="AI158" s="281"/>
      <x:c r="AJ158" s="281"/>
      <x:c r="AK158" s="281"/>
      <x:c r="AL158" s="281"/>
      <x:c r="AM158" s="281"/>
      <x:c r="AN158" s="281"/>
    </x:row>
    <x:row r="159">
      <x:c r="A159" s="281"/>
      <x:c r="B159" s="281"/>
      <x:c r="C159" s="281"/>
      <x:c r="D159" s="281"/>
      <x:c r="E159" s="281"/>
      <x:c r="F159" s="281"/>
      <x:c r="G159" s="281"/>
      <x:c r="H159" s="281"/>
      <x:c r="I159" s="281"/>
      <x:c r="J159" s="281"/>
      <x:c r="K159" s="281"/>
      <x:c r="L159" s="281"/>
      <x:c r="M159" s="281"/>
      <x:c r="N159" s="281"/>
      <x:c r="O159" s="281"/>
      <x:c r="P159" s="281"/>
      <x:c r="Q159" s="281"/>
      <x:c r="R159" s="281"/>
      <x:c r="S159" s="281"/>
      <x:c r="T159" s="281"/>
      <x:c r="U159" s="281"/>
      <x:c r="V159" s="281"/>
      <x:c r="W159" s="281"/>
      <x:c r="X159" s="281"/>
      <x:c r="Y159" s="281"/>
      <x:c r="Z159" s="281"/>
      <x:c r="AA159" s="281"/>
      <x:c r="AB159" s="281"/>
      <x:c r="AC159" s="281"/>
      <x:c r="AD159" s="281"/>
      <x:c r="AE159" s="281"/>
      <x:c r="AF159" s="281"/>
      <x:c r="AG159" s="281"/>
      <x:c r="AH159" s="281"/>
      <x:c r="AI159" s="281"/>
      <x:c r="AJ159" s="281"/>
      <x:c r="AK159" s="281"/>
      <x:c r="AL159" s="281"/>
      <x:c r="AM159" s="281"/>
      <x:c r="AN159" s="281"/>
    </x:row>
    <x:row r="160">
      <x:c r="A160" s="281"/>
      <x:c r="B160" s="281"/>
      <x:c r="C160" s="281"/>
      <x:c r="D160" s="281"/>
      <x:c r="E160" s="281"/>
      <x:c r="F160" s="281"/>
      <x:c r="G160" s="281"/>
      <x:c r="H160" s="281"/>
      <x:c r="I160" s="281"/>
      <x:c r="J160" s="281"/>
      <x:c r="K160" s="281"/>
      <x:c r="L160" s="281"/>
      <x:c r="M160" s="281"/>
      <x:c r="N160" s="281"/>
      <x:c r="O160" s="281"/>
      <x:c r="P160" s="281"/>
      <x:c r="Q160" s="281"/>
      <x:c r="R160" s="281"/>
      <x:c r="S160" s="281"/>
      <x:c r="T160" s="281"/>
      <x:c r="U160" s="281"/>
      <x:c r="V160" s="281"/>
      <x:c r="W160" s="281"/>
      <x:c r="X160" s="281"/>
      <x:c r="Y160" s="281"/>
      <x:c r="Z160" s="281"/>
      <x:c r="AA160" s="281"/>
      <x:c r="AB160" s="281"/>
      <x:c r="AC160" s="281"/>
      <x:c r="AD160" s="281"/>
      <x:c r="AE160" s="281"/>
      <x:c r="AF160" s="281"/>
      <x:c r="AG160" s="281"/>
      <x:c r="AH160" s="281"/>
      <x:c r="AI160" s="281"/>
      <x:c r="AJ160" s="281"/>
      <x:c r="AK160" s="281"/>
      <x:c r="AL160" s="281"/>
      <x:c r="AM160" s="281"/>
      <x:c r="AN160" s="281"/>
    </x:row>
    <x:row r="161">
      <x:c r="A161" s="281"/>
      <x:c r="B161" s="281"/>
      <x:c r="C161" s="281"/>
      <x:c r="D161" s="281"/>
      <x:c r="E161" s="281"/>
      <x:c r="F161" s="281"/>
      <x:c r="G161" s="281"/>
      <x:c r="H161" s="281"/>
      <x:c r="I161" s="281"/>
      <x:c r="J161" s="281"/>
      <x:c r="K161" s="281"/>
      <x:c r="L161" s="281"/>
      <x:c r="M161" s="281"/>
      <x:c r="N161" s="281"/>
      <x:c r="O161" s="281"/>
      <x:c r="P161" s="281"/>
      <x:c r="Q161" s="281"/>
      <x:c r="R161" s="281"/>
      <x:c r="S161" s="281"/>
      <x:c r="T161" s="281"/>
      <x:c r="U161" s="281"/>
      <x:c r="V161" s="281"/>
      <x:c r="W161" s="281"/>
      <x:c r="X161" s="281"/>
      <x:c r="Y161" s="281"/>
      <x:c r="Z161" s="281"/>
      <x:c r="AA161" s="281"/>
      <x:c r="AB161" s="281"/>
      <x:c r="AC161" s="281"/>
      <x:c r="AD161" s="281"/>
      <x:c r="AE161" s="281"/>
      <x:c r="AF161" s="281"/>
      <x:c r="AG161" s="281"/>
      <x:c r="AH161" s="281"/>
      <x:c r="AI161" s="281"/>
      <x:c r="AJ161" s="281"/>
      <x:c r="AK161" s="281"/>
      <x:c r="AL161" s="281"/>
      <x:c r="AM161" s="281"/>
      <x:c r="AN161" s="281"/>
    </x:row>
    <x:row r="162">
      <x:c r="A162" s="281"/>
      <x:c r="B162" s="281"/>
      <x:c r="C162" s="281"/>
      <x:c r="D162" s="281"/>
      <x:c r="E162" s="281"/>
      <x:c r="F162" s="281"/>
      <x:c r="G162" s="281"/>
      <x:c r="H162" s="281"/>
      <x:c r="I162" s="281"/>
      <x:c r="J162" s="281"/>
      <x:c r="K162" s="281"/>
      <x:c r="L162" s="281"/>
      <x:c r="M162" s="281"/>
      <x:c r="N162" s="281"/>
      <x:c r="O162" s="281"/>
      <x:c r="P162" s="281"/>
      <x:c r="Q162" s="281"/>
      <x:c r="R162" s="281"/>
      <x:c r="S162" s="281"/>
      <x:c r="T162" s="281"/>
      <x:c r="U162" s="281"/>
      <x:c r="V162" s="281"/>
      <x:c r="W162" s="281"/>
      <x:c r="X162" s="281"/>
      <x:c r="Y162" s="281"/>
      <x:c r="Z162" s="281"/>
      <x:c r="AA162" s="281"/>
      <x:c r="AB162" s="281"/>
      <x:c r="AC162" s="281"/>
      <x:c r="AD162" s="281"/>
      <x:c r="AE162" s="281"/>
      <x:c r="AF162" s="281"/>
      <x:c r="AG162" s="281"/>
      <x:c r="AH162" s="281"/>
      <x:c r="AI162" s="281"/>
      <x:c r="AJ162" s="281"/>
      <x:c r="AK162" s="281"/>
      <x:c r="AL162" s="281"/>
      <x:c r="AM162" s="281"/>
      <x:c r="AN162" s="281"/>
    </x:row>
    <x:row r="163">
      <x:c r="A163" s="281"/>
      <x:c r="B163" s="281"/>
      <x:c r="C163" s="281"/>
      <x:c r="D163" s="281"/>
      <x:c r="E163" s="281"/>
      <x:c r="F163" s="281"/>
      <x:c r="G163" s="281"/>
      <x:c r="H163" s="281"/>
      <x:c r="I163" s="281"/>
      <x:c r="J163" s="281"/>
      <x:c r="K163" s="281"/>
      <x:c r="L163" s="281"/>
      <x:c r="M163" s="281"/>
      <x:c r="N163" s="281"/>
      <x:c r="O163" s="281"/>
      <x:c r="P163" s="281"/>
      <x:c r="Q163" s="281"/>
      <x:c r="R163" s="281"/>
      <x:c r="S163" s="281"/>
      <x:c r="T163" s="281"/>
      <x:c r="U163" s="281"/>
      <x:c r="V163" s="281"/>
      <x:c r="W163" s="281"/>
      <x:c r="X163" s="281"/>
      <x:c r="Y163" s="281"/>
      <x:c r="Z163" s="281"/>
      <x:c r="AA163" s="281"/>
      <x:c r="AB163" s="281"/>
      <x:c r="AC163" s="281"/>
      <x:c r="AD163" s="281"/>
      <x:c r="AE163" s="281"/>
      <x:c r="AF163" s="281"/>
      <x:c r="AG163" s="281"/>
      <x:c r="AH163" s="281"/>
      <x:c r="AI163" s="281"/>
      <x:c r="AJ163" s="281"/>
      <x:c r="AK163" s="281"/>
      <x:c r="AL163" s="281"/>
      <x:c r="AM163" s="281"/>
      <x:c r="AN163" s="281"/>
    </x:row>
    <x:row r="164">
      <x:c r="A164" s="281"/>
      <x:c r="B164" s="281"/>
      <x:c r="C164" s="281"/>
      <x:c r="D164" s="281"/>
      <x:c r="E164" s="281"/>
      <x:c r="F164" s="281"/>
      <x:c r="G164" s="281"/>
      <x:c r="H164" s="281"/>
      <x:c r="I164" s="281"/>
      <x:c r="J164" s="281"/>
      <x:c r="K164" s="281"/>
      <x:c r="L164" s="281"/>
      <x:c r="M164" s="281"/>
      <x:c r="N164" s="281"/>
      <x:c r="O164" s="281"/>
      <x:c r="P164" s="281"/>
      <x:c r="Q164" s="281"/>
      <x:c r="R164" s="281"/>
      <x:c r="S164" s="281"/>
      <x:c r="T164" s="281"/>
      <x:c r="U164" s="281"/>
      <x:c r="V164" s="281"/>
      <x:c r="W164" s="281"/>
      <x:c r="X164" s="281"/>
      <x:c r="Y164" s="281"/>
      <x:c r="Z164" s="281"/>
      <x:c r="AA164" s="281"/>
      <x:c r="AB164" s="281"/>
      <x:c r="AC164" s="281"/>
      <x:c r="AD164" s="281"/>
      <x:c r="AE164" s="281"/>
      <x:c r="AF164" s="281"/>
      <x:c r="AG164" s="281"/>
      <x:c r="AH164" s="281"/>
      <x:c r="AI164" s="281"/>
      <x:c r="AJ164" s="281"/>
      <x:c r="AK164" s="281"/>
      <x:c r="AL164" s="281"/>
      <x:c r="AM164" s="281"/>
      <x:c r="AN164" s="281"/>
    </x:row>
    <x:row r="165">
      <x:c r="A165" s="281"/>
      <x:c r="B165" s="281"/>
      <x:c r="C165" s="281"/>
      <x:c r="D165" s="281"/>
      <x:c r="E165" s="281"/>
      <x:c r="F165" s="281"/>
      <x:c r="G165" s="281"/>
      <x:c r="H165" s="281"/>
      <x:c r="I165" s="281"/>
      <x:c r="J165" s="281"/>
      <x:c r="K165" s="281"/>
      <x:c r="L165" s="281"/>
      <x:c r="M165" s="281"/>
      <x:c r="N165" s="281"/>
      <x:c r="O165" s="281"/>
      <x:c r="P165" s="281"/>
      <x:c r="Q165" s="281"/>
      <x:c r="R165" s="281"/>
      <x:c r="S165" s="281"/>
      <x:c r="T165" s="281"/>
      <x:c r="U165" s="281"/>
      <x:c r="V165" s="281"/>
      <x:c r="W165" s="281"/>
      <x:c r="X165" s="281"/>
      <x:c r="Y165" s="281"/>
      <x:c r="Z165" s="281"/>
      <x:c r="AA165" s="281"/>
      <x:c r="AB165" s="281"/>
      <x:c r="AC165" s="281"/>
      <x:c r="AD165" s="281"/>
      <x:c r="AE165" s="281"/>
      <x:c r="AF165" s="281"/>
      <x:c r="AG165" s="281"/>
      <x:c r="AH165" s="281"/>
      <x:c r="AI165" s="281"/>
      <x:c r="AJ165" s="281"/>
      <x:c r="AK165" s="281"/>
      <x:c r="AL165" s="281"/>
      <x:c r="AM165" s="281"/>
      <x:c r="AN165" s="281"/>
    </x:row>
    <x:row r="166">
      <x:c r="A166" s="281"/>
      <x:c r="B166" s="281"/>
      <x:c r="C166" s="281"/>
      <x:c r="D166" s="281"/>
      <x:c r="E166" s="281"/>
      <x:c r="F166" s="281"/>
      <x:c r="G166" s="281"/>
      <x:c r="H166" s="281"/>
      <x:c r="I166" s="281"/>
      <x:c r="J166" s="281"/>
      <x:c r="K166" s="281"/>
      <x:c r="L166" s="281"/>
      <x:c r="M166" s="281"/>
      <x:c r="N166" s="281"/>
      <x:c r="O166" s="281"/>
      <x:c r="P166" s="281"/>
      <x:c r="Q166" s="281"/>
      <x:c r="R166" s="281"/>
      <x:c r="S166" s="281"/>
      <x:c r="T166" s="281"/>
      <x:c r="U166" s="281"/>
      <x:c r="V166" s="281"/>
      <x:c r="W166" s="281"/>
      <x:c r="X166" s="281"/>
      <x:c r="Y166" s="281"/>
      <x:c r="Z166" s="281"/>
      <x:c r="AA166" s="281"/>
      <x:c r="AB166" s="281"/>
      <x:c r="AC166" s="281"/>
      <x:c r="AD166" s="281"/>
      <x:c r="AE166" s="281"/>
      <x:c r="AF166" s="281"/>
      <x:c r="AG166" s="281"/>
      <x:c r="AH166" s="281"/>
      <x:c r="AI166" s="281"/>
      <x:c r="AJ166" s="281"/>
      <x:c r="AK166" s="281"/>
      <x:c r="AL166" s="281"/>
      <x:c r="AM166" s="281"/>
      <x:c r="AN166" s="281"/>
    </x:row>
    <x:row r="167">
      <x:c r="A167" s="281"/>
      <x:c r="B167" s="281"/>
      <x:c r="C167" s="281"/>
      <x:c r="D167" s="281"/>
      <x:c r="E167" s="281"/>
      <x:c r="F167" s="281"/>
      <x:c r="G167" s="281"/>
      <x:c r="H167" s="281"/>
      <x:c r="I167" s="281"/>
      <x:c r="J167" s="281"/>
      <x:c r="K167" s="281"/>
      <x:c r="L167" s="281"/>
      <x:c r="M167" s="281"/>
      <x:c r="N167" s="281"/>
      <x:c r="O167" s="281"/>
      <x:c r="P167" s="281"/>
      <x:c r="Q167" s="281"/>
      <x:c r="R167" s="281"/>
      <x:c r="S167" s="281"/>
      <x:c r="T167" s="281"/>
      <x:c r="U167" s="281"/>
      <x:c r="V167" s="281"/>
      <x:c r="W167" s="281"/>
      <x:c r="X167" s="281"/>
      <x:c r="Y167" s="281"/>
      <x:c r="Z167" s="281"/>
      <x:c r="AA167" s="281"/>
      <x:c r="AB167" s="281"/>
      <x:c r="AC167" s="281"/>
      <x:c r="AD167" s="281"/>
      <x:c r="AE167" s="281"/>
      <x:c r="AF167" s="281"/>
      <x:c r="AG167" s="281"/>
      <x:c r="AH167" s="281"/>
      <x:c r="AI167" s="281"/>
      <x:c r="AJ167" s="281"/>
      <x:c r="AK167" s="281"/>
      <x:c r="AL167" s="281"/>
      <x:c r="AM167" s="281"/>
      <x:c r="AN167" s="281"/>
    </x:row>
    <x:row r="168">
      <x:c r="A168" s="281"/>
      <x:c r="B168" s="281"/>
      <x:c r="C168" s="281"/>
      <x:c r="D168" s="281"/>
      <x:c r="E168" s="281"/>
      <x:c r="F168" s="281"/>
      <x:c r="G168" s="281"/>
      <x:c r="H168" s="281"/>
      <x:c r="I168" s="281"/>
      <x:c r="J168" s="281"/>
      <x:c r="K168" s="281"/>
      <x:c r="L168" s="281"/>
      <x:c r="M168" s="281"/>
      <x:c r="N168" s="281"/>
      <x:c r="O168" s="281"/>
      <x:c r="P168" s="281"/>
      <x:c r="Q168" s="281"/>
      <x:c r="R168" s="281"/>
      <x:c r="S168" s="281"/>
      <x:c r="T168" s="281"/>
      <x:c r="U168" s="281"/>
      <x:c r="V168" s="281"/>
      <x:c r="W168" s="281"/>
      <x:c r="X168" s="281"/>
      <x:c r="Y168" s="281"/>
      <x:c r="Z168" s="281"/>
      <x:c r="AA168" s="281"/>
      <x:c r="AB168" s="281"/>
      <x:c r="AC168" s="281"/>
      <x:c r="AD168" s="281"/>
      <x:c r="AE168" s="281"/>
      <x:c r="AF168" s="281"/>
      <x:c r="AG168" s="281"/>
      <x:c r="AH168" s="281"/>
      <x:c r="AI168" s="281"/>
      <x:c r="AJ168" s="281"/>
      <x:c r="AK168" s="281"/>
      <x:c r="AL168" s="281"/>
      <x:c r="AM168" s="281"/>
      <x:c r="AN168" s="281"/>
    </x:row>
    <x:row r="169">
      <x:c r="A169" s="281"/>
      <x:c r="B169" s="281"/>
      <x:c r="C169" s="281"/>
      <x:c r="D169" s="281"/>
      <x:c r="E169" s="281"/>
      <x:c r="F169" s="281"/>
      <x:c r="G169" s="281"/>
      <x:c r="H169" s="281"/>
      <x:c r="I169" s="281"/>
      <x:c r="J169" s="281"/>
      <x:c r="K169" s="281"/>
      <x:c r="L169" s="281"/>
      <x:c r="M169" s="281"/>
      <x:c r="N169" s="281"/>
      <x:c r="O169" s="281"/>
      <x:c r="P169" s="281"/>
      <x:c r="Q169" s="281"/>
      <x:c r="R169" s="281"/>
      <x:c r="S169" s="281"/>
      <x:c r="T169" s="281"/>
      <x:c r="U169" s="281"/>
      <x:c r="V169" s="281"/>
      <x:c r="W169" s="281"/>
      <x:c r="X169" s="281"/>
      <x:c r="Y169" s="281"/>
      <x:c r="Z169" s="281"/>
      <x:c r="AA169" s="281"/>
      <x:c r="AB169" s="281"/>
      <x:c r="AC169" s="281"/>
      <x:c r="AD169" s="281"/>
      <x:c r="AE169" s="281"/>
      <x:c r="AF169" s="281"/>
      <x:c r="AG169" s="281"/>
      <x:c r="AH169" s="281"/>
      <x:c r="AI169" s="281"/>
      <x:c r="AJ169" s="281"/>
      <x:c r="AK169" s="281"/>
      <x:c r="AL169" s="281"/>
      <x:c r="AM169" s="281"/>
      <x:c r="AN169" s="281"/>
    </x:row>
    <x:row r="170">
      <x:c r="A170" s="281"/>
      <x:c r="B170" s="281"/>
      <x:c r="C170" s="281"/>
      <x:c r="D170" s="281"/>
      <x:c r="E170" s="281"/>
      <x:c r="F170" s="281"/>
      <x:c r="G170" s="281"/>
      <x:c r="H170" s="281"/>
      <x:c r="I170" s="281"/>
      <x:c r="J170" s="281"/>
      <x:c r="K170" s="281"/>
      <x:c r="L170" s="281"/>
      <x:c r="M170" s="281"/>
      <x:c r="N170" s="281"/>
      <x:c r="O170" s="281"/>
      <x:c r="P170" s="281"/>
      <x:c r="Q170" s="281"/>
      <x:c r="R170" s="281"/>
      <x:c r="S170" s="281"/>
      <x:c r="T170" s="281"/>
      <x:c r="U170" s="281"/>
      <x:c r="V170" s="281"/>
      <x:c r="W170" s="281"/>
      <x:c r="X170" s="281"/>
      <x:c r="Y170" s="281"/>
      <x:c r="Z170" s="281"/>
      <x:c r="AA170" s="281"/>
      <x:c r="AB170" s="281"/>
      <x:c r="AC170" s="281"/>
      <x:c r="AD170" s="281"/>
      <x:c r="AE170" s="281"/>
      <x:c r="AF170" s="281"/>
      <x:c r="AG170" s="281"/>
      <x:c r="AH170" s="281"/>
      <x:c r="AI170" s="281"/>
      <x:c r="AJ170" s="281"/>
      <x:c r="AK170" s="281"/>
      <x:c r="AL170" s="281"/>
      <x:c r="AM170" s="281"/>
      <x:c r="AN170" s="281"/>
    </x:row>
    <x:row r="171">
      <x:c r="A171" s="281"/>
      <x:c r="B171" s="281"/>
      <x:c r="C171" s="281"/>
      <x:c r="D171" s="281"/>
      <x:c r="E171" s="281"/>
      <x:c r="F171" s="281"/>
      <x:c r="G171" s="281"/>
      <x:c r="H171" s="281"/>
      <x:c r="I171" s="281"/>
      <x:c r="J171" s="281"/>
      <x:c r="K171" s="281"/>
      <x:c r="L171" s="281"/>
      <x:c r="M171" s="281"/>
      <x:c r="N171" s="281"/>
      <x:c r="O171" s="281"/>
      <x:c r="P171" s="281"/>
      <x:c r="Q171" s="281"/>
      <x:c r="R171" s="281"/>
      <x:c r="S171" s="281"/>
      <x:c r="T171" s="281"/>
      <x:c r="U171" s="281"/>
      <x:c r="V171" s="281"/>
      <x:c r="W171" s="281"/>
      <x:c r="X171" s="281"/>
      <x:c r="Y171" s="281"/>
      <x:c r="Z171" s="281"/>
      <x:c r="AA171" s="281"/>
      <x:c r="AB171" s="281"/>
      <x:c r="AC171" s="281"/>
      <x:c r="AD171" s="281"/>
      <x:c r="AE171" s="281"/>
      <x:c r="AF171" s="281"/>
      <x:c r="AG171" s="281"/>
      <x:c r="AH171" s="281"/>
      <x:c r="AI171" s="281"/>
      <x:c r="AJ171" s="281"/>
      <x:c r="AK171" s="281"/>
      <x:c r="AL171" s="281"/>
      <x:c r="AM171" s="281"/>
      <x:c r="AN171" s="281"/>
    </x:row>
    <x:row r="172">
      <x:c r="A172" s="281"/>
      <x:c r="B172" s="281"/>
      <x:c r="C172" s="281"/>
      <x:c r="D172" s="281"/>
      <x:c r="E172" s="281"/>
      <x:c r="F172" s="281"/>
      <x:c r="G172" s="281"/>
      <x:c r="H172" s="281"/>
      <x:c r="I172" s="281"/>
      <x:c r="J172" s="281"/>
      <x:c r="K172" s="281"/>
      <x:c r="L172" s="281"/>
      <x:c r="M172" s="281"/>
      <x:c r="N172" s="281"/>
      <x:c r="O172" s="281"/>
      <x:c r="P172" s="281"/>
      <x:c r="Q172" s="281"/>
      <x:c r="R172" s="281"/>
      <x:c r="S172" s="281"/>
      <x:c r="T172" s="281"/>
      <x:c r="U172" s="281"/>
      <x:c r="V172" s="281"/>
      <x:c r="W172" s="281"/>
      <x:c r="X172" s="281"/>
      <x:c r="Y172" s="281"/>
      <x:c r="Z172" s="281"/>
      <x:c r="AA172" s="281"/>
      <x:c r="AB172" s="281"/>
      <x:c r="AC172" s="281"/>
      <x:c r="AD172" s="281"/>
      <x:c r="AE172" s="281"/>
      <x:c r="AF172" s="281"/>
      <x:c r="AG172" s="281"/>
      <x:c r="AH172" s="281"/>
      <x:c r="AI172" s="281"/>
      <x:c r="AJ172" s="281"/>
      <x:c r="AK172" s="281"/>
      <x:c r="AL172" s="281"/>
      <x:c r="AM172" s="281"/>
      <x:c r="AN172" s="281"/>
    </x:row>
    <x:row r="173">
      <x:c r="A173" s="281"/>
      <x:c r="B173" s="281"/>
      <x:c r="C173" s="281"/>
      <x:c r="D173" s="281"/>
      <x:c r="E173" s="281"/>
      <x:c r="F173" s="281"/>
      <x:c r="G173" s="281"/>
      <x:c r="H173" s="281"/>
      <x:c r="I173" s="281"/>
      <x:c r="J173" s="281"/>
      <x:c r="K173" s="281"/>
      <x:c r="L173" s="281"/>
      <x:c r="M173" s="281"/>
      <x:c r="N173" s="281"/>
      <x:c r="O173" s="281"/>
      <x:c r="P173" s="281"/>
      <x:c r="Q173" s="281"/>
      <x:c r="R173" s="281"/>
      <x:c r="S173" s="281"/>
      <x:c r="T173" s="281"/>
      <x:c r="U173" s="281"/>
      <x:c r="V173" s="281"/>
      <x:c r="W173" s="281"/>
      <x:c r="X173" s="281"/>
      <x:c r="Y173" s="281"/>
      <x:c r="Z173" s="281"/>
      <x:c r="AA173" s="281"/>
      <x:c r="AB173" s="281"/>
      <x:c r="AC173" s="281"/>
      <x:c r="AD173" s="281"/>
      <x:c r="AE173" s="281"/>
      <x:c r="AF173" s="281"/>
      <x:c r="AG173" s="281"/>
      <x:c r="AH173" s="281"/>
      <x:c r="AI173" s="281"/>
      <x:c r="AJ173" s="281"/>
      <x:c r="AK173" s="281"/>
      <x:c r="AL173" s="281"/>
      <x:c r="AM173" s="281"/>
      <x:c r="AN173" s="281"/>
    </x:row>
    <x:row r="174">
      <x:c r="A174" s="281"/>
      <x:c r="B174" s="281"/>
      <x:c r="C174" s="281"/>
      <x:c r="D174" s="281"/>
      <x:c r="E174" s="281"/>
      <x:c r="F174" s="281"/>
      <x:c r="G174" s="281"/>
      <x:c r="H174" s="281"/>
      <x:c r="I174" s="281"/>
      <x:c r="J174" s="281"/>
      <x:c r="K174" s="281"/>
      <x:c r="L174" s="281"/>
      <x:c r="M174" s="281"/>
      <x:c r="N174" s="281"/>
      <x:c r="O174" s="281"/>
      <x:c r="P174" s="281"/>
      <x:c r="Q174" s="281"/>
      <x:c r="R174" s="281"/>
      <x:c r="S174" s="281"/>
      <x:c r="T174" s="281"/>
      <x:c r="U174" s="281"/>
      <x:c r="V174" s="281"/>
      <x:c r="W174" s="281"/>
      <x:c r="X174" s="281"/>
      <x:c r="Y174" s="281"/>
      <x:c r="Z174" s="281"/>
      <x:c r="AA174" s="281"/>
      <x:c r="AB174" s="281"/>
      <x:c r="AC174" s="281"/>
      <x:c r="AD174" s="281"/>
      <x:c r="AE174" s="281"/>
      <x:c r="AF174" s="281"/>
      <x:c r="AG174" s="281"/>
      <x:c r="AH174" s="281"/>
      <x:c r="AI174" s="281"/>
      <x:c r="AJ174" s="281"/>
      <x:c r="AK174" s="281"/>
      <x:c r="AL174" s="281"/>
      <x:c r="AM174" s="281"/>
      <x:c r="AN174" s="281"/>
    </x:row>
    <x:row r="175">
      <x:c r="A175" s="281"/>
      <x:c r="B175" s="281"/>
      <x:c r="C175" s="281"/>
      <x:c r="D175" s="281"/>
      <x:c r="E175" s="281"/>
      <x:c r="F175" s="281"/>
      <x:c r="G175" s="281"/>
      <x:c r="H175" s="281"/>
      <x:c r="I175" s="281"/>
      <x:c r="J175" s="281"/>
      <x:c r="K175" s="281"/>
      <x:c r="L175" s="281"/>
      <x:c r="M175" s="281"/>
      <x:c r="N175" s="281"/>
      <x:c r="O175" s="281"/>
      <x:c r="P175" s="281"/>
      <x:c r="Q175" s="281"/>
      <x:c r="R175" s="281"/>
      <x:c r="S175" s="281"/>
      <x:c r="T175" s="281"/>
      <x:c r="U175" s="281"/>
      <x:c r="V175" s="281"/>
      <x:c r="W175" s="281"/>
      <x:c r="X175" s="281"/>
      <x:c r="Y175" s="281"/>
      <x:c r="Z175" s="281"/>
      <x:c r="AA175" s="281"/>
      <x:c r="AB175" s="281"/>
      <x:c r="AC175" s="281"/>
      <x:c r="AD175" s="281"/>
      <x:c r="AE175" s="281"/>
      <x:c r="AF175" s="281"/>
      <x:c r="AG175" s="281"/>
      <x:c r="AH175" s="281"/>
      <x:c r="AI175" s="281"/>
      <x:c r="AJ175" s="281"/>
      <x:c r="AK175" s="281"/>
      <x:c r="AL175" s="281"/>
      <x:c r="AM175" s="281"/>
      <x:c r="AN175" s="281"/>
    </x:row>
    <x:row r="176">
      <x:c r="A176" s="281"/>
      <x:c r="B176" s="281"/>
      <x:c r="C176" s="281"/>
      <x:c r="D176" s="281"/>
      <x:c r="E176" s="281"/>
      <x:c r="F176" s="281"/>
      <x:c r="G176" s="281"/>
      <x:c r="H176" s="281"/>
      <x:c r="I176" s="281"/>
      <x:c r="J176" s="281"/>
      <x:c r="K176" s="281"/>
      <x:c r="L176" s="281"/>
      <x:c r="M176" s="281"/>
      <x:c r="N176" s="281"/>
      <x:c r="O176" s="281"/>
      <x:c r="P176" s="281"/>
      <x:c r="Q176" s="281"/>
      <x:c r="R176" s="281"/>
      <x:c r="S176" s="281"/>
      <x:c r="T176" s="281"/>
      <x:c r="U176" s="281"/>
      <x:c r="V176" s="281"/>
      <x:c r="W176" s="281"/>
      <x:c r="X176" s="281"/>
      <x:c r="Y176" s="281"/>
      <x:c r="Z176" s="281"/>
      <x:c r="AA176" s="281"/>
      <x:c r="AB176" s="281"/>
      <x:c r="AC176" s="281"/>
      <x:c r="AD176" s="281"/>
      <x:c r="AE176" s="281"/>
      <x:c r="AF176" s="281"/>
      <x:c r="AG176" s="281"/>
      <x:c r="AH176" s="281"/>
      <x:c r="AI176" s="281"/>
      <x:c r="AJ176" s="281"/>
      <x:c r="AK176" s="281"/>
      <x:c r="AL176" s="281"/>
      <x:c r="AM176" s="281"/>
      <x:c r="AN176" s="281"/>
    </x:row>
    <x:row r="177">
      <x:c r="A177" s="281"/>
      <x:c r="B177" s="281"/>
      <x:c r="C177" s="281"/>
      <x:c r="D177" s="281"/>
      <x:c r="E177" s="281"/>
      <x:c r="F177" s="281"/>
      <x:c r="G177" s="281"/>
      <x:c r="H177" s="281"/>
      <x:c r="I177" s="281"/>
      <x:c r="J177" s="281"/>
      <x:c r="K177" s="281"/>
      <x:c r="L177" s="281"/>
      <x:c r="M177" s="281"/>
      <x:c r="N177" s="281"/>
      <x:c r="O177" s="281"/>
      <x:c r="P177" s="281"/>
      <x:c r="Q177" s="281"/>
      <x:c r="R177" s="281"/>
      <x:c r="S177" s="281"/>
      <x:c r="T177" s="281"/>
      <x:c r="U177" s="281"/>
      <x:c r="V177" s="281"/>
      <x:c r="W177" s="281"/>
      <x:c r="X177" s="281"/>
      <x:c r="Y177" s="281"/>
      <x:c r="Z177" s="281"/>
      <x:c r="AA177" s="281"/>
      <x:c r="AB177" s="281"/>
      <x:c r="AC177" s="281"/>
      <x:c r="AD177" s="281"/>
      <x:c r="AE177" s="281"/>
      <x:c r="AF177" s="281"/>
      <x:c r="AG177" s="281"/>
      <x:c r="AH177" s="281"/>
      <x:c r="AI177" s="281"/>
      <x:c r="AJ177" s="281"/>
      <x:c r="AK177" s="281"/>
      <x:c r="AL177" s="281"/>
      <x:c r="AM177" s="281"/>
      <x:c r="AN177" s="281"/>
    </x:row>
    <x:row r="178">
      <x:c r="A178" s="281"/>
      <x:c r="B178" s="281"/>
      <x:c r="C178" s="281"/>
      <x:c r="D178" s="281"/>
      <x:c r="E178" s="281"/>
      <x:c r="F178" s="281"/>
      <x:c r="G178" s="281"/>
      <x:c r="H178" s="281"/>
      <x:c r="I178" s="281"/>
      <x:c r="J178" s="281"/>
      <x:c r="K178" s="281"/>
      <x:c r="L178" s="281"/>
      <x:c r="M178" s="281"/>
      <x:c r="N178" s="281"/>
      <x:c r="O178" s="281"/>
      <x:c r="P178" s="281"/>
      <x:c r="Q178" s="281"/>
      <x:c r="R178" s="281"/>
      <x:c r="S178" s="281"/>
      <x:c r="T178" s="281"/>
      <x:c r="U178" s="281"/>
      <x:c r="V178" s="281"/>
      <x:c r="W178" s="281"/>
      <x:c r="X178" s="281"/>
      <x:c r="Y178" s="281"/>
      <x:c r="Z178" s="281"/>
      <x:c r="AA178" s="281"/>
      <x:c r="AB178" s="281"/>
      <x:c r="AC178" s="281"/>
      <x:c r="AD178" s="281"/>
      <x:c r="AE178" s="281"/>
      <x:c r="AF178" s="281"/>
      <x:c r="AG178" s="281"/>
      <x:c r="AH178" s="281"/>
      <x:c r="AI178" s="281"/>
      <x:c r="AJ178" s="281"/>
      <x:c r="AK178" s="281"/>
      <x:c r="AL178" s="281"/>
      <x:c r="AM178" s="281"/>
      <x:c r="AN178" s="281"/>
    </x:row>
    <x:row r="179">
      <x:c r="A179" s="281"/>
      <x:c r="B179" s="281"/>
      <x:c r="C179" s="281"/>
      <x:c r="D179" s="281"/>
      <x:c r="E179" s="281"/>
      <x:c r="F179" s="281"/>
      <x:c r="G179" s="281"/>
      <x:c r="H179" s="281"/>
      <x:c r="I179" s="281"/>
      <x:c r="J179" s="281"/>
      <x:c r="K179" s="281"/>
      <x:c r="L179" s="281"/>
      <x:c r="M179" s="281"/>
      <x:c r="N179" s="281"/>
      <x:c r="O179" s="281"/>
      <x:c r="P179" s="281"/>
      <x:c r="Q179" s="281"/>
      <x:c r="R179" s="281"/>
      <x:c r="S179" s="281"/>
      <x:c r="T179" s="281"/>
      <x:c r="U179" s="281"/>
      <x:c r="V179" s="281"/>
      <x:c r="W179" s="281"/>
      <x:c r="X179" s="281"/>
      <x:c r="Y179" s="281"/>
      <x:c r="Z179" s="281"/>
      <x:c r="AA179" s="281"/>
      <x:c r="AB179" s="281"/>
      <x:c r="AC179" s="281"/>
      <x:c r="AD179" s="281"/>
      <x:c r="AE179" s="281"/>
      <x:c r="AF179" s="281"/>
      <x:c r="AG179" s="281"/>
      <x:c r="AH179" s="281"/>
      <x:c r="AI179" s="281"/>
      <x:c r="AJ179" s="281"/>
      <x:c r="AK179" s="281"/>
      <x:c r="AL179" s="281"/>
      <x:c r="AM179" s="281"/>
      <x:c r="AN179" s="281"/>
    </x:row>
    <x:row r="180">
      <x:c r="A180" s="281"/>
      <x:c r="B180" s="281"/>
      <x:c r="C180" s="281"/>
      <x:c r="D180" s="281"/>
      <x:c r="E180" s="281"/>
      <x:c r="F180" s="281"/>
      <x:c r="G180" s="281"/>
      <x:c r="H180" s="281"/>
      <x:c r="I180" s="281"/>
      <x:c r="J180" s="281"/>
      <x:c r="K180" s="281"/>
      <x:c r="L180" s="281"/>
      <x:c r="M180" s="281"/>
      <x:c r="N180" s="281"/>
      <x:c r="O180" s="281"/>
      <x:c r="P180" s="281"/>
      <x:c r="Q180" s="281"/>
      <x:c r="R180" s="281"/>
      <x:c r="S180" s="281"/>
      <x:c r="T180" s="281"/>
      <x:c r="U180" s="281"/>
      <x:c r="V180" s="281"/>
      <x:c r="W180" s="281"/>
      <x:c r="X180" s="281"/>
      <x:c r="Y180" s="281"/>
      <x:c r="Z180" s="281"/>
      <x:c r="AA180" s="281"/>
      <x:c r="AB180" s="281"/>
      <x:c r="AC180" s="281"/>
      <x:c r="AD180" s="281"/>
      <x:c r="AE180" s="281"/>
      <x:c r="AF180" s="281"/>
      <x:c r="AG180" s="281"/>
      <x:c r="AH180" s="281"/>
      <x:c r="AI180" s="281"/>
      <x:c r="AJ180" s="281"/>
      <x:c r="AK180" s="281"/>
      <x:c r="AL180" s="281"/>
      <x:c r="AM180" s="281"/>
      <x:c r="AN180" s="281"/>
    </x:row>
    <x:row r="181">
      <x:c r="A181" s="281"/>
      <x:c r="B181" s="281"/>
      <x:c r="C181" s="281"/>
      <x:c r="D181" s="281"/>
      <x:c r="E181" s="281"/>
      <x:c r="F181" s="281"/>
      <x:c r="G181" s="281"/>
      <x:c r="H181" s="281"/>
      <x:c r="I181" s="281"/>
      <x:c r="J181" s="281"/>
      <x:c r="K181" s="281"/>
      <x:c r="L181" s="281"/>
      <x:c r="M181" s="281"/>
      <x:c r="N181" s="281"/>
      <x:c r="O181" s="281"/>
      <x:c r="P181" s="281"/>
      <x:c r="Q181" s="281"/>
      <x:c r="R181" s="281"/>
      <x:c r="S181" s="281"/>
      <x:c r="T181" s="281"/>
      <x:c r="U181" s="281"/>
      <x:c r="V181" s="281"/>
      <x:c r="W181" s="281"/>
      <x:c r="X181" s="281"/>
      <x:c r="Y181" s="281"/>
      <x:c r="Z181" s="281"/>
      <x:c r="AA181" s="281"/>
      <x:c r="AB181" s="281"/>
      <x:c r="AC181" s="281"/>
      <x:c r="AD181" s="281"/>
      <x:c r="AE181" s="281"/>
      <x:c r="AF181" s="281"/>
      <x:c r="AG181" s="281"/>
      <x:c r="AH181" s="281"/>
      <x:c r="AI181" s="281"/>
      <x:c r="AJ181" s="281"/>
      <x:c r="AK181" s="281"/>
      <x:c r="AL181" s="281"/>
      <x:c r="AM181" s="281"/>
      <x:c r="AN181" s="281"/>
    </x:row>
    <x:row r="182">
      <x:c r="A182" s="281"/>
      <x:c r="B182" s="281"/>
      <x:c r="C182" s="281"/>
      <x:c r="D182" s="281"/>
      <x:c r="E182" s="281"/>
      <x:c r="F182" s="281"/>
      <x:c r="G182" s="281"/>
      <x:c r="H182" s="281"/>
      <x:c r="I182" s="281"/>
      <x:c r="J182" s="281"/>
      <x:c r="K182" s="281"/>
      <x:c r="L182" s="281"/>
      <x:c r="M182" s="281"/>
      <x:c r="N182" s="281"/>
      <x:c r="O182" s="281"/>
      <x:c r="P182" s="281"/>
      <x:c r="Q182" s="281"/>
      <x:c r="R182" s="281"/>
      <x:c r="S182" s="281"/>
      <x:c r="T182" s="281"/>
      <x:c r="U182" s="281"/>
      <x:c r="V182" s="281"/>
      <x:c r="W182" s="281"/>
      <x:c r="X182" s="281"/>
      <x:c r="Y182" s="281"/>
      <x:c r="Z182" s="281"/>
      <x:c r="AA182" s="281"/>
      <x:c r="AB182" s="281"/>
      <x:c r="AC182" s="281"/>
      <x:c r="AD182" s="281"/>
      <x:c r="AE182" s="281"/>
      <x:c r="AF182" s="281"/>
      <x:c r="AG182" s="281"/>
      <x:c r="AH182" s="281"/>
      <x:c r="AI182" s="281"/>
      <x:c r="AJ182" s="281"/>
      <x:c r="AK182" s="281"/>
      <x:c r="AL182" s="281"/>
      <x:c r="AM182" s="281"/>
      <x:c r="AN182" s="281"/>
    </x:row>
    <x:row r="183">
      <x:c r="A183" s="281"/>
      <x:c r="B183" s="281"/>
      <x:c r="C183" s="281"/>
      <x:c r="D183" s="281"/>
      <x:c r="E183" s="281"/>
      <x:c r="F183" s="281"/>
      <x:c r="G183" s="281"/>
      <x:c r="H183" s="281"/>
      <x:c r="I183" s="281"/>
      <x:c r="J183" s="281"/>
      <x:c r="K183" s="281"/>
      <x:c r="L183" s="281"/>
      <x:c r="M183" s="281"/>
      <x:c r="N183" s="281"/>
      <x:c r="O183" s="281"/>
      <x:c r="P183" s="281"/>
      <x:c r="Q183" s="281"/>
      <x:c r="R183" s="281"/>
      <x:c r="S183" s="281"/>
      <x:c r="T183" s="281"/>
      <x:c r="U183" s="281"/>
      <x:c r="V183" s="281"/>
      <x:c r="W183" s="281"/>
      <x:c r="X183" s="281"/>
      <x:c r="Y183" s="281"/>
      <x:c r="Z183" s="281"/>
      <x:c r="AA183" s="281"/>
      <x:c r="AB183" s="281"/>
      <x:c r="AC183" s="281"/>
      <x:c r="AD183" s="281"/>
      <x:c r="AE183" s="281"/>
      <x:c r="AF183" s="281"/>
      <x:c r="AG183" s="281"/>
      <x:c r="AH183" s="281"/>
      <x:c r="AI183" s="281"/>
      <x:c r="AJ183" s="281"/>
      <x:c r="AK183" s="281"/>
      <x:c r="AL183" s="281"/>
      <x:c r="AM183" s="281"/>
      <x:c r="AN183" s="281"/>
    </x:row>
    <x:row r="184">
      <x:c r="A184" s="281"/>
      <x:c r="B184" s="281"/>
      <x:c r="C184" s="281"/>
      <x:c r="D184" s="281"/>
      <x:c r="E184" s="281"/>
      <x:c r="F184" s="281"/>
      <x:c r="G184" s="281"/>
      <x:c r="H184" s="281"/>
      <x:c r="I184" s="281"/>
      <x:c r="J184" s="281"/>
      <x:c r="K184" s="281"/>
      <x:c r="L184" s="281"/>
      <x:c r="M184" s="281"/>
      <x:c r="N184" s="281"/>
      <x:c r="O184" s="281"/>
      <x:c r="P184" s="281"/>
      <x:c r="Q184" s="281"/>
      <x:c r="R184" s="281"/>
      <x:c r="S184" s="281"/>
      <x:c r="T184" s="281"/>
      <x:c r="U184" s="281"/>
      <x:c r="V184" s="281"/>
      <x:c r="W184" s="281"/>
      <x:c r="X184" s="281"/>
      <x:c r="Y184" s="281"/>
      <x:c r="Z184" s="281"/>
      <x:c r="AA184" s="281"/>
      <x:c r="AB184" s="281"/>
      <x:c r="AC184" s="281"/>
      <x:c r="AD184" s="281"/>
      <x:c r="AE184" s="281"/>
      <x:c r="AF184" s="281"/>
      <x:c r="AG184" s="281"/>
      <x:c r="AH184" s="281"/>
      <x:c r="AI184" s="281"/>
      <x:c r="AJ184" s="281"/>
      <x:c r="AK184" s="281"/>
      <x:c r="AL184" s="281"/>
      <x:c r="AM184" s="281"/>
      <x:c r="AN184" s="281"/>
    </x:row>
    <x:row r="185">
      <x:c r="A185" s="281"/>
      <x:c r="B185" s="281"/>
      <x:c r="C185" s="281"/>
      <x:c r="D185" s="281"/>
      <x:c r="E185" s="281"/>
      <x:c r="F185" s="281"/>
      <x:c r="G185" s="281"/>
      <x:c r="H185" s="281"/>
      <x:c r="I185" s="281"/>
      <x:c r="J185" s="281"/>
      <x:c r="K185" s="281"/>
      <x:c r="L185" s="281"/>
      <x:c r="M185" s="281"/>
      <x:c r="N185" s="281"/>
      <x:c r="O185" s="281"/>
      <x:c r="P185" s="281"/>
      <x:c r="Q185" s="281"/>
      <x:c r="R185" s="281"/>
      <x:c r="S185" s="281"/>
      <x:c r="T185" s="281"/>
      <x:c r="U185" s="281"/>
      <x:c r="V185" s="281"/>
      <x:c r="W185" s="281"/>
      <x:c r="X185" s="281"/>
      <x:c r="Y185" s="281"/>
      <x:c r="Z185" s="281"/>
      <x:c r="AA185" s="281"/>
      <x:c r="AB185" s="281"/>
      <x:c r="AC185" s="281"/>
      <x:c r="AD185" s="281"/>
      <x:c r="AE185" s="281"/>
      <x:c r="AF185" s="281"/>
      <x:c r="AG185" s="281"/>
      <x:c r="AH185" s="281"/>
      <x:c r="AI185" s="281"/>
      <x:c r="AJ185" s="281"/>
      <x:c r="AK185" s="281"/>
      <x:c r="AL185" s="281"/>
      <x:c r="AM185" s="281"/>
      <x:c r="AN185" s="281"/>
    </x:row>
    <x:row r="186">
      <x:c r="A186" s="281"/>
      <x:c r="B186" s="281"/>
      <x:c r="C186" s="281"/>
      <x:c r="D186" s="281"/>
      <x:c r="E186" s="281"/>
      <x:c r="F186" s="281"/>
      <x:c r="G186" s="281"/>
      <x:c r="H186" s="281"/>
      <x:c r="I186" s="281"/>
      <x:c r="J186" s="281"/>
      <x:c r="K186" s="281"/>
      <x:c r="L186" s="281"/>
      <x:c r="M186" s="281"/>
      <x:c r="N186" s="281"/>
      <x:c r="O186" s="281"/>
      <x:c r="P186" s="281"/>
      <x:c r="Q186" s="281"/>
      <x:c r="R186" s="281"/>
      <x:c r="S186" s="281"/>
      <x:c r="T186" s="281"/>
      <x:c r="U186" s="281"/>
      <x:c r="V186" s="281"/>
      <x:c r="W186" s="281"/>
      <x:c r="X186" s="281"/>
      <x:c r="Y186" s="281"/>
      <x:c r="Z186" s="281"/>
      <x:c r="AA186" s="281"/>
      <x:c r="AB186" s="281"/>
      <x:c r="AC186" s="281"/>
      <x:c r="AD186" s="281"/>
      <x:c r="AE186" s="281"/>
      <x:c r="AF186" s="281"/>
      <x:c r="AG186" s="281"/>
      <x:c r="AH186" s="281"/>
      <x:c r="AI186" s="281"/>
      <x:c r="AJ186" s="281"/>
      <x:c r="AK186" s="281"/>
      <x:c r="AL186" s="281"/>
      <x:c r="AM186" s="281"/>
      <x:c r="AN186" s="281"/>
    </x:row>
    <x:row r="187">
      <x:c r="A187" s="281"/>
      <x:c r="B187" s="281"/>
      <x:c r="C187" s="281"/>
      <x:c r="D187" s="281"/>
      <x:c r="E187" s="281"/>
      <x:c r="F187" s="281"/>
      <x:c r="G187" s="281"/>
      <x:c r="H187" s="281"/>
      <x:c r="I187" s="281"/>
      <x:c r="J187" s="281"/>
      <x:c r="K187" s="281"/>
      <x:c r="L187" s="281"/>
      <x:c r="M187" s="281"/>
      <x:c r="N187" s="281"/>
      <x:c r="O187" s="281"/>
      <x:c r="P187" s="281"/>
      <x:c r="Q187" s="281"/>
      <x:c r="R187" s="281"/>
      <x:c r="S187" s="281"/>
      <x:c r="T187" s="281"/>
      <x:c r="U187" s="281"/>
      <x:c r="V187" s="281"/>
      <x:c r="W187" s="281"/>
      <x:c r="X187" s="281"/>
      <x:c r="Y187" s="281"/>
      <x:c r="Z187" s="281"/>
      <x:c r="AA187" s="281"/>
      <x:c r="AB187" s="281"/>
      <x:c r="AC187" s="281"/>
      <x:c r="AD187" s="281"/>
      <x:c r="AE187" s="281"/>
      <x:c r="AF187" s="281"/>
      <x:c r="AG187" s="281"/>
      <x:c r="AH187" s="281"/>
      <x:c r="AI187" s="281"/>
      <x:c r="AJ187" s="281"/>
      <x:c r="AK187" s="281"/>
      <x:c r="AL187" s="281"/>
      <x:c r="AM187" s="281"/>
      <x:c r="AN187" s="281"/>
    </x:row>
    <x:row r="188">
      <x:c r="A188" s="281"/>
      <x:c r="B188" s="281"/>
      <x:c r="C188" s="281"/>
      <x:c r="D188" s="281"/>
      <x:c r="E188" s="281"/>
      <x:c r="F188" s="281"/>
      <x:c r="G188" s="281"/>
      <x:c r="H188" s="281"/>
      <x:c r="I188" s="281"/>
      <x:c r="J188" s="281"/>
      <x:c r="K188" s="281"/>
      <x:c r="L188" s="281"/>
      <x:c r="M188" s="281"/>
      <x:c r="N188" s="281"/>
      <x:c r="O188" s="281"/>
      <x:c r="P188" s="281"/>
      <x:c r="Q188" s="281"/>
      <x:c r="R188" s="281"/>
      <x:c r="S188" s="281"/>
      <x:c r="T188" s="281"/>
      <x:c r="U188" s="281"/>
      <x:c r="V188" s="281"/>
      <x:c r="W188" s="281"/>
      <x:c r="X188" s="281"/>
      <x:c r="Y188" s="281"/>
      <x:c r="Z188" s="281"/>
      <x:c r="AA188" s="281"/>
      <x:c r="AB188" s="281"/>
      <x:c r="AC188" s="281"/>
      <x:c r="AD188" s="281"/>
      <x:c r="AE188" s="281"/>
      <x:c r="AF188" s="281"/>
      <x:c r="AG188" s="281"/>
      <x:c r="AH188" s="281"/>
      <x:c r="AI188" s="281"/>
      <x:c r="AJ188" s="281"/>
      <x:c r="AK188" s="281"/>
      <x:c r="AL188" s="281"/>
      <x:c r="AM188" s="281"/>
      <x:c r="AN188" s="281"/>
    </x:row>
    <x:row r="189">
      <x:c r="A189" s="281"/>
      <x:c r="B189" s="281"/>
      <x:c r="C189" s="281"/>
      <x:c r="D189" s="281"/>
      <x:c r="E189" s="281"/>
      <x:c r="F189" s="281"/>
      <x:c r="G189" s="281"/>
      <x:c r="H189" s="281"/>
      <x:c r="I189" s="281"/>
      <x:c r="J189" s="281"/>
      <x:c r="K189" s="281"/>
      <x:c r="L189" s="281"/>
      <x:c r="M189" s="281"/>
      <x:c r="N189" s="281"/>
      <x:c r="O189" s="281"/>
      <x:c r="P189" s="281"/>
      <x:c r="Q189" s="281"/>
      <x:c r="R189" s="281"/>
      <x:c r="S189" s="281"/>
      <x:c r="T189" s="281"/>
      <x:c r="U189" s="281"/>
      <x:c r="V189" s="281"/>
      <x:c r="W189" s="281"/>
      <x:c r="X189" s="281"/>
      <x:c r="Y189" s="281"/>
      <x:c r="Z189" s="281"/>
      <x:c r="AA189" s="281"/>
      <x:c r="AB189" s="281"/>
      <x:c r="AC189" s="281"/>
      <x:c r="AD189" s="281"/>
      <x:c r="AE189" s="281"/>
      <x:c r="AF189" s="281"/>
      <x:c r="AG189" s="281"/>
      <x:c r="AH189" s="281"/>
      <x:c r="AI189" s="281"/>
      <x:c r="AJ189" s="281"/>
      <x:c r="AK189" s="281"/>
      <x:c r="AL189" s="281"/>
      <x:c r="AM189" s="281"/>
      <x:c r="AN189" s="281"/>
    </x:row>
    <x:row r="190">
      <x:c r="A190" s="281"/>
      <x:c r="B190" s="281"/>
      <x:c r="C190" s="281"/>
      <x:c r="D190" s="281"/>
      <x:c r="E190" s="281"/>
      <x:c r="F190" s="281"/>
      <x:c r="G190" s="281"/>
      <x:c r="H190" s="281"/>
      <x:c r="I190" s="281"/>
      <x:c r="J190" s="281"/>
      <x:c r="K190" s="281"/>
      <x:c r="L190" s="281"/>
      <x:c r="M190" s="281"/>
      <x:c r="N190" s="281"/>
      <x:c r="O190" s="281"/>
      <x:c r="P190" s="281"/>
      <x:c r="Q190" s="281"/>
      <x:c r="R190" s="281"/>
      <x:c r="S190" s="281"/>
      <x:c r="T190" s="281"/>
      <x:c r="U190" s="281"/>
      <x:c r="V190" s="281"/>
      <x:c r="W190" s="281"/>
      <x:c r="X190" s="281"/>
      <x:c r="Y190" s="281"/>
      <x:c r="Z190" s="281"/>
      <x:c r="AA190" s="281"/>
      <x:c r="AB190" s="281"/>
      <x:c r="AC190" s="281"/>
      <x:c r="AD190" s="281"/>
      <x:c r="AE190" s="281"/>
      <x:c r="AF190" s="281"/>
      <x:c r="AG190" s="281"/>
      <x:c r="AH190" s="281"/>
      <x:c r="AI190" s="281"/>
      <x:c r="AJ190" s="281"/>
      <x:c r="AK190" s="281"/>
      <x:c r="AL190" s="281"/>
      <x:c r="AM190" s="281"/>
      <x:c r="AN190" s="281"/>
    </x:row>
    <x:row r="191">
      <x:c r="A191" s="281"/>
      <x:c r="B191" s="281"/>
      <x:c r="C191" s="281"/>
      <x:c r="D191" s="281"/>
      <x:c r="E191" s="281"/>
      <x:c r="F191" s="281"/>
      <x:c r="G191" s="281"/>
      <x:c r="H191" s="281"/>
      <x:c r="I191" s="281"/>
      <x:c r="J191" s="281"/>
      <x:c r="K191" s="281"/>
      <x:c r="L191" s="281"/>
      <x:c r="M191" s="281"/>
      <x:c r="N191" s="281"/>
      <x:c r="O191" s="281"/>
      <x:c r="P191" s="281"/>
      <x:c r="Q191" s="281"/>
      <x:c r="R191" s="281"/>
      <x:c r="S191" s="281"/>
      <x:c r="T191" s="281"/>
      <x:c r="U191" s="281"/>
      <x:c r="V191" s="281"/>
      <x:c r="W191" s="281"/>
      <x:c r="X191" s="281"/>
      <x:c r="Y191" s="281"/>
      <x:c r="Z191" s="281"/>
      <x:c r="AA191" s="281"/>
      <x:c r="AB191" s="281"/>
      <x:c r="AC191" s="281"/>
      <x:c r="AD191" s="281"/>
      <x:c r="AE191" s="281"/>
      <x:c r="AF191" s="281"/>
      <x:c r="AG191" s="281"/>
      <x:c r="AH191" s="281"/>
      <x:c r="AI191" s="281"/>
      <x:c r="AJ191" s="281"/>
      <x:c r="AK191" s="281"/>
      <x:c r="AL191" s="281"/>
      <x:c r="AM191" s="281"/>
      <x:c r="AN191" s="281"/>
    </x:row>
    <x:row r="192">
      <x:c r="A192" s="281"/>
      <x:c r="B192" s="281"/>
      <x:c r="C192" s="281"/>
      <x:c r="D192" s="281"/>
      <x:c r="E192" s="281"/>
      <x:c r="F192" s="281"/>
      <x:c r="G192" s="281"/>
      <x:c r="H192" s="281"/>
      <x:c r="I192" s="281"/>
      <x:c r="J192" s="281"/>
      <x:c r="K192" s="281"/>
      <x:c r="L192" s="281"/>
      <x:c r="M192" s="281"/>
      <x:c r="N192" s="281"/>
      <x:c r="O192" s="281"/>
      <x:c r="P192" s="281"/>
      <x:c r="Q192" s="281"/>
      <x:c r="R192" s="281"/>
      <x:c r="S192" s="281"/>
      <x:c r="T192" s="281"/>
      <x:c r="U192" s="281"/>
      <x:c r="V192" s="281"/>
      <x:c r="W192" s="281"/>
      <x:c r="X192" s="281"/>
      <x:c r="Y192" s="281"/>
      <x:c r="Z192" s="281"/>
      <x:c r="AA192" s="281"/>
      <x:c r="AB192" s="281"/>
      <x:c r="AC192" s="281"/>
      <x:c r="AD192" s="281"/>
      <x:c r="AE192" s="281"/>
      <x:c r="AF192" s="281"/>
      <x:c r="AG192" s="281"/>
      <x:c r="AH192" s="281"/>
      <x:c r="AI192" s="281"/>
      <x:c r="AJ192" s="281"/>
      <x:c r="AK192" s="281"/>
      <x:c r="AL192" s="281"/>
      <x:c r="AM192" s="281"/>
      <x:c r="AN192" s="281"/>
    </x:row>
    <x:row r="193">
      <x:c r="A193" s="281"/>
      <x:c r="B193" s="281"/>
      <x:c r="C193" s="281"/>
      <x:c r="D193" s="281"/>
      <x:c r="E193" s="281"/>
      <x:c r="F193" s="281"/>
      <x:c r="G193" s="281"/>
      <x:c r="H193" s="281"/>
      <x:c r="I193" s="281"/>
      <x:c r="J193" s="281"/>
      <x:c r="K193" s="281"/>
      <x:c r="L193" s="281"/>
      <x:c r="M193" s="281"/>
      <x:c r="N193" s="281"/>
      <x:c r="O193" s="281"/>
      <x:c r="P193" s="281"/>
      <x:c r="Q193" s="281"/>
      <x:c r="R193" s="281"/>
      <x:c r="S193" s="281"/>
      <x:c r="T193" s="281"/>
      <x:c r="U193" s="281"/>
      <x:c r="V193" s="281"/>
      <x:c r="W193" s="281"/>
      <x:c r="X193" s="281"/>
      <x:c r="Y193" s="281"/>
      <x:c r="Z193" s="281"/>
      <x:c r="AA193" s="281"/>
      <x:c r="AB193" s="281"/>
      <x:c r="AC193" s="281"/>
      <x:c r="AD193" s="281"/>
      <x:c r="AE193" s="281"/>
      <x:c r="AF193" s="281"/>
      <x:c r="AG193" s="281"/>
      <x:c r="AH193" s="281"/>
      <x:c r="AI193" s="281"/>
      <x:c r="AJ193" s="281"/>
      <x:c r="AK193" s="281"/>
      <x:c r="AL193" s="281"/>
      <x:c r="AM193" s="281"/>
      <x:c r="AN193" s="281"/>
    </x:row>
    <x:row r="194">
      <x:c r="A194" s="281"/>
      <x:c r="B194" s="281"/>
      <x:c r="C194" s="281"/>
      <x:c r="D194" s="281"/>
      <x:c r="E194" s="281"/>
      <x:c r="F194" s="281"/>
      <x:c r="G194" s="281"/>
      <x:c r="H194" s="281"/>
      <x:c r="I194" s="281"/>
      <x:c r="J194" s="281"/>
      <x:c r="K194" s="281"/>
      <x:c r="L194" s="281"/>
      <x:c r="M194" s="281"/>
      <x:c r="N194" s="281"/>
      <x:c r="O194" s="281"/>
      <x:c r="P194" s="281"/>
      <x:c r="Q194" s="281"/>
      <x:c r="R194" s="281"/>
      <x:c r="S194" s="281"/>
      <x:c r="T194" s="281"/>
      <x:c r="U194" s="281"/>
      <x:c r="V194" s="281"/>
      <x:c r="W194" s="281"/>
      <x:c r="X194" s="281"/>
      <x:c r="Y194" s="281"/>
      <x:c r="Z194" s="281"/>
      <x:c r="AA194" s="281"/>
      <x:c r="AB194" s="281"/>
      <x:c r="AC194" s="281"/>
      <x:c r="AD194" s="281"/>
      <x:c r="AE194" s="281"/>
      <x:c r="AF194" s="281"/>
      <x:c r="AG194" s="281"/>
      <x:c r="AH194" s="281"/>
      <x:c r="AI194" s="281"/>
      <x:c r="AJ194" s="281"/>
      <x:c r="AK194" s="281"/>
      <x:c r="AL194" s="281"/>
      <x:c r="AM194" s="281"/>
      <x:c r="AN194" s="281"/>
    </x:row>
    <x:row r="195">
      <x:c r="A195" s="281"/>
      <x:c r="B195" s="281"/>
      <x:c r="C195" s="281"/>
      <x:c r="D195" s="281"/>
      <x:c r="E195" s="281"/>
      <x:c r="F195" s="281"/>
      <x:c r="G195" s="281"/>
      <x:c r="H195" s="281"/>
      <x:c r="I195" s="281"/>
      <x:c r="J195" s="281"/>
      <x:c r="K195" s="281"/>
      <x:c r="L195" s="281"/>
      <x:c r="M195" s="281"/>
      <x:c r="N195" s="281"/>
      <x:c r="O195" s="281"/>
      <x:c r="P195" s="281"/>
      <x:c r="Q195" s="281"/>
      <x:c r="R195" s="281"/>
      <x:c r="S195" s="281"/>
      <x:c r="T195" s="281"/>
      <x:c r="U195" s="281"/>
      <x:c r="V195" s="281"/>
      <x:c r="W195" s="281"/>
      <x:c r="X195" s="281"/>
      <x:c r="Y195" s="281"/>
      <x:c r="Z195" s="281"/>
      <x:c r="AA195" s="281"/>
      <x:c r="AB195" s="281"/>
      <x:c r="AC195" s="281"/>
      <x:c r="AD195" s="281"/>
      <x:c r="AE195" s="281"/>
      <x:c r="AF195" s="281"/>
      <x:c r="AG195" s="281"/>
      <x:c r="AH195" s="281"/>
      <x:c r="AI195" s="281"/>
      <x:c r="AJ195" s="281"/>
      <x:c r="AK195" s="281"/>
      <x:c r="AL195" s="281"/>
      <x:c r="AM195" s="281"/>
      <x:c r="AN195" s="281"/>
    </x:row>
    <x:row r="196">
      <x:c r="A196" s="281"/>
      <x:c r="B196" s="281"/>
      <x:c r="C196" s="281"/>
      <x:c r="D196" s="281"/>
      <x:c r="E196" s="281"/>
      <x:c r="F196" s="281"/>
      <x:c r="G196" s="281"/>
      <x:c r="H196" s="281"/>
      <x:c r="I196" s="281"/>
      <x:c r="J196" s="281"/>
      <x:c r="K196" s="281"/>
      <x:c r="L196" s="281"/>
      <x:c r="M196" s="281"/>
      <x:c r="N196" s="281"/>
      <x:c r="O196" s="281"/>
      <x:c r="P196" s="281"/>
      <x:c r="Q196" s="281"/>
      <x:c r="R196" s="281"/>
      <x:c r="S196" s="281"/>
      <x:c r="T196" s="281"/>
      <x:c r="U196" s="281"/>
      <x:c r="V196" s="281"/>
      <x:c r="W196" s="281"/>
      <x:c r="X196" s="281"/>
      <x:c r="Y196" s="281"/>
      <x:c r="Z196" s="281"/>
      <x:c r="AA196" s="281"/>
      <x:c r="AB196" s="281"/>
      <x:c r="AC196" s="281"/>
      <x:c r="AD196" s="281"/>
      <x:c r="AE196" s="281"/>
      <x:c r="AF196" s="281"/>
      <x:c r="AG196" s="281"/>
      <x:c r="AH196" s="281"/>
      <x:c r="AI196" s="281"/>
      <x:c r="AJ196" s="281"/>
      <x:c r="AK196" s="281"/>
      <x:c r="AL196" s="281"/>
      <x:c r="AM196" s="281"/>
      <x:c r="AN196" s="281"/>
    </x:row>
    <x:row r="197">
      <x:c r="A197" s="281"/>
      <x:c r="B197" s="281"/>
      <x:c r="C197" s="281"/>
      <x:c r="D197" s="281"/>
      <x:c r="E197" s="281"/>
      <x:c r="F197" s="281"/>
      <x:c r="G197" s="281"/>
      <x:c r="H197" s="281"/>
      <x:c r="I197" s="281"/>
      <x:c r="J197" s="281"/>
      <x:c r="K197" s="281"/>
      <x:c r="L197" s="281"/>
      <x:c r="M197" s="281"/>
      <x:c r="N197" s="281"/>
      <x:c r="O197" s="281"/>
      <x:c r="P197" s="281"/>
      <x:c r="Q197" s="281"/>
      <x:c r="R197" s="281"/>
      <x:c r="S197" s="281"/>
      <x:c r="T197" s="281"/>
      <x:c r="U197" s="281"/>
      <x:c r="V197" s="281"/>
      <x:c r="W197" s="281"/>
      <x:c r="X197" s="281"/>
      <x:c r="Y197" s="281"/>
      <x:c r="Z197" s="281"/>
      <x:c r="AA197" s="281"/>
      <x:c r="AB197" s="281"/>
      <x:c r="AC197" s="281"/>
      <x:c r="AD197" s="281"/>
      <x:c r="AE197" s="281"/>
      <x:c r="AF197" s="281"/>
      <x:c r="AG197" s="281"/>
      <x:c r="AH197" s="281"/>
      <x:c r="AI197" s="281"/>
      <x:c r="AJ197" s="281"/>
      <x:c r="AK197" s="281"/>
      <x:c r="AL197" s="281"/>
      <x:c r="AM197" s="281"/>
      <x:c r="AN197" s="281"/>
    </x:row>
    <x:row r="198">
      <x:c r="A198" s="281"/>
      <x:c r="B198" s="281"/>
      <x:c r="C198" s="281"/>
      <x:c r="D198" s="281"/>
      <x:c r="E198" s="281"/>
      <x:c r="F198" s="281"/>
      <x:c r="G198" s="281"/>
      <x:c r="H198" s="281"/>
      <x:c r="I198" s="281"/>
      <x:c r="J198" s="281"/>
      <x:c r="K198" s="281"/>
      <x:c r="L198" s="281"/>
      <x:c r="M198" s="281"/>
      <x:c r="N198" s="281"/>
      <x:c r="O198" s="281"/>
      <x:c r="P198" s="281"/>
      <x:c r="Q198" s="281"/>
      <x:c r="R198" s="281"/>
      <x:c r="S198" s="281"/>
      <x:c r="T198" s="281"/>
      <x:c r="U198" s="281"/>
      <x:c r="V198" s="281"/>
      <x:c r="W198" s="281"/>
      <x:c r="X198" s="281"/>
      <x:c r="Y198" s="281"/>
      <x:c r="Z198" s="281"/>
      <x:c r="AA198" s="281"/>
      <x:c r="AB198" s="281"/>
      <x:c r="AC198" s="281"/>
      <x:c r="AD198" s="281"/>
      <x:c r="AE198" s="281"/>
      <x:c r="AF198" s="281"/>
      <x:c r="AG198" s="281"/>
      <x:c r="AH198" s="281"/>
      <x:c r="AI198" s="281"/>
      <x:c r="AJ198" s="281"/>
      <x:c r="AK198" s="281"/>
      <x:c r="AL198" s="281"/>
      <x:c r="AM198" s="281"/>
      <x:c r="AN198" s="281"/>
    </x:row>
    <x:row r="199">
      <x:c r="A199" s="281"/>
      <x:c r="B199" s="281"/>
      <x:c r="C199" s="281"/>
      <x:c r="D199" s="281"/>
      <x:c r="E199" s="281"/>
      <x:c r="F199" s="281"/>
      <x:c r="G199" s="281"/>
      <x:c r="H199" s="281"/>
      <x:c r="I199" s="281"/>
      <x:c r="J199" s="281"/>
      <x:c r="K199" s="281"/>
      <x:c r="L199" s="281"/>
      <x:c r="M199" s="281"/>
      <x:c r="N199" s="281"/>
      <x:c r="O199" s="281"/>
      <x:c r="P199" s="281"/>
      <x:c r="Q199" s="281"/>
      <x:c r="R199" s="281"/>
      <x:c r="S199" s="281"/>
      <x:c r="T199" s="281"/>
      <x:c r="U199" s="281"/>
      <x:c r="V199" s="281"/>
      <x:c r="W199" s="281"/>
      <x:c r="X199" s="281"/>
      <x:c r="Y199" s="281"/>
      <x:c r="Z199" s="281"/>
      <x:c r="AA199" s="281"/>
      <x:c r="AB199" s="281"/>
      <x:c r="AC199" s="281"/>
      <x:c r="AD199" s="281"/>
      <x:c r="AE199" s="281"/>
      <x:c r="AF199" s="281"/>
      <x:c r="AG199" s="281"/>
      <x:c r="AH199" s="281"/>
      <x:c r="AI199" s="281"/>
      <x:c r="AJ199" s="281"/>
      <x:c r="AK199" s="281"/>
      <x:c r="AL199" s="281"/>
      <x:c r="AM199" s="281"/>
      <x:c r="AN199" s="281"/>
    </x:row>
    <x:row r="200">
      <x:c r="A200" s="281"/>
      <x:c r="B200" s="281"/>
      <x:c r="C200" s="281"/>
      <x:c r="D200" s="281"/>
      <x:c r="E200" s="281"/>
      <x:c r="F200" s="281"/>
      <x:c r="G200" s="281"/>
      <x:c r="H200" s="281"/>
      <x:c r="I200" s="281"/>
      <x:c r="J200" s="281"/>
      <x:c r="K200" s="281"/>
      <x:c r="L200" s="281"/>
      <x:c r="M200" s="281"/>
      <x:c r="N200" s="281"/>
      <x:c r="O200" s="281"/>
      <x:c r="P200" s="281"/>
      <x:c r="Q200" s="281"/>
      <x:c r="R200" s="281"/>
      <x:c r="S200" s="281"/>
      <x:c r="T200" s="281"/>
      <x:c r="U200" s="281"/>
      <x:c r="V200" s="281"/>
      <x:c r="W200" s="281"/>
      <x:c r="X200" s="281"/>
      <x:c r="Y200" s="281"/>
      <x:c r="Z200" s="281"/>
      <x:c r="AA200" s="281"/>
      <x:c r="AB200" s="281"/>
      <x:c r="AC200" s="281"/>
      <x:c r="AD200" s="281"/>
      <x:c r="AE200" s="281"/>
      <x:c r="AF200" s="281"/>
      <x:c r="AG200" s="281"/>
      <x:c r="AH200" s="281"/>
      <x:c r="AI200" s="281"/>
      <x:c r="AJ200" s="281"/>
      <x:c r="AK200" s="281"/>
      <x:c r="AL200" s="281"/>
      <x:c r="AM200" s="281"/>
      <x:c r="AN200" s="281"/>
    </x:row>
  </x:sheetData>
  <x:mergeCells>
    <x:mergeCell ref="A1:H1"/>
    <x:mergeCell ref="A2:H2"/>
  </x:mergeCells>
  <x:pageMargins left="0.7" right="0.7" top="0.75" bottom="0.75" header="0.3" footer="0.3"/>
</x:worksheet>
</file>